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ariavalencia/Documents/curiosity corner/I love learning/bibliopa/scripts/notebooks/"/>
    </mc:Choice>
  </mc:AlternateContent>
  <xr:revisionPtr revIDLastSave="0" documentId="13_ncr:9_{DF0CDFE1-4954-8744-8174-A554B3294446}" xr6:coauthVersionLast="47" xr6:coauthVersionMax="47" xr10:uidLastSave="{00000000-0000-0000-0000-000000000000}"/>
  <bookViews>
    <workbookView xWindow="200" yWindow="700" windowWidth="24060" windowHeight="17300" xr2:uid="{E6EA64CC-CF9F-2D46-9AE7-9771AF445DCC}"/>
    <workbookView xWindow="2580" yWindow="3480" windowWidth="20500" windowHeight="15180" activeTab="2" xr2:uid="{3FA9610E-2206-FB4F-AC2D-E4C34A1A69BE}"/>
  </bookViews>
  <sheets>
    <sheet name="backup_files" sheetId="1" r:id="rId1"/>
    <sheet name="Sheet3" sheetId="4" r:id="rId2"/>
    <sheet name="filtered" sheetId="2" r:id="rId3"/>
    <sheet name="book_stats" sheetId="3" r:id="rId4"/>
  </sheets>
  <calcPr calcId="0"/>
</workbook>
</file>

<file path=xl/calcChain.xml><?xml version="1.0" encoding="utf-8"?>
<calcChain xmlns="http://schemas.openxmlformats.org/spreadsheetml/2006/main">
  <c r="G29" i="2" l="1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28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I47" i="2"/>
  <c r="B48" i="3"/>
  <c r="G47" i="2" l="1"/>
</calcChain>
</file>

<file path=xl/sharedStrings.xml><?xml version="1.0" encoding="utf-8"?>
<sst xmlns="http://schemas.openxmlformats.org/spreadsheetml/2006/main" count="521" uniqueCount="213">
  <si>
    <t>file</t>
  </si>
  <si>
    <t>path</t>
  </si>
  <si>
    <t>entries</t>
  </si>
  <si>
    <t>modified</t>
  </si>
  <si>
    <t>timestamp</t>
  </si>
  <si>
    <t>structure</t>
  </si>
  <si>
    <t>new_people.json</t>
  </si>
  <si>
    <t>bibliopa/data/backup/people/messy_shit/new_people.json</t>
  </si>
  <si>
    <t>list</t>
  </si>
  <si>
    <t>unmatched_flat.json</t>
  </si>
  <si>
    <t>bibliopa/data/backup/people/messy_shit/unmatched_flat.json</t>
  </si>
  <si>
    <t>new_people_with_dupes.json</t>
  </si>
  <si>
    <t>bibliopa/data/backup/people/messy_shit/new_people_with_dupes.json</t>
  </si>
  <si>
    <t>not_found_old.json</t>
  </si>
  <si>
    <t>bibliopa/data/backup/people/messy_shit/not_found_old.json</t>
  </si>
  <si>
    <t>dict</t>
  </si>
  <si>
    <t>oops_fixed.json</t>
  </si>
  <si>
    <t>bibliopa/data/backup/people/inbetweens/oops_fixed.json</t>
  </si>
  <si>
    <t>oops.json</t>
  </si>
  <si>
    <t>bibliopa/data/backup/people/inbetweens/oops.json</t>
  </si>
  <si>
    <t xml:space="preserve"> nopes_clean.json</t>
  </si>
  <si>
    <t>bibliopa/data/backup/people/messy_shit/ nopes_clean.json</t>
  </si>
  <si>
    <t>people_clean.json</t>
  </si>
  <si>
    <t>bibliopa/data/backup/people/messy_shit/people_clean.json</t>
  </si>
  <si>
    <t>nopes_with_singles.json</t>
  </si>
  <si>
    <t>bibliopa/data/backup/people/messy_shit/inbetweens/nopes_with_singles.json</t>
  </si>
  <si>
    <t>matches_merged_with_singles.json</t>
  </si>
  <si>
    <t>bibliopa/data/backup/people/messy_shit/matches_merged_with_singles.json</t>
  </si>
  <si>
    <t>matches_merged-backup.json</t>
  </si>
  <si>
    <t>bibliopa/data/backup/people/messy_shit/inbetweens/matches_merged-backup.json</t>
  </si>
  <si>
    <t>nopes_manual_edits-backup.json</t>
  </si>
  <si>
    <t>bibliopa/data/backup/people/messy_shit/nopes_manual_edits-backup.json</t>
  </si>
  <si>
    <t>nopes_manual_edits.json</t>
  </si>
  <si>
    <t>bibliopa/data/backup/people/messy_shit/inbetweens/nopes_manual_edits.json</t>
  </si>
  <si>
    <t>matches_merged-old.json</t>
  </si>
  <si>
    <t>bibliopa/data/backup/people/messy_shit/matches_merged-old.json</t>
  </si>
  <si>
    <t>people_to_update.json</t>
  </si>
  <si>
    <t>bibliopa/data/backup/people/messy_shit/people_to_update.json</t>
  </si>
  <si>
    <t>update_collisions.json</t>
  </si>
  <si>
    <t>bibliopa/data/backup/people/update_collisions.json</t>
  </si>
  <si>
    <t>unmatched_merged.json</t>
  </si>
  <si>
    <t>bibliopa/data/backup/people/unmatched_merged.json</t>
  </si>
  <si>
    <t>bibliopa/data/backup/people/unmatched_flat.json</t>
  </si>
  <si>
    <t>unmatched.json</t>
  </si>
  <si>
    <t>bibliopa/data/backup/people/unmatched.json</t>
  </si>
  <si>
    <t>bibliopa/data/backup/people/people_to_update.json</t>
  </si>
  <si>
    <t>people_to_add.json</t>
  </si>
  <si>
    <t>bibliopa/data/backup/people/people_to_add.json</t>
  </si>
  <si>
    <t>people_matched.json</t>
  </si>
  <si>
    <t>bibliopa/data/backup/people/people_matched.json</t>
  </si>
  <si>
    <t>people_extracted.json</t>
  </si>
  <si>
    <t>bibliopa/data/backup/people/people_extracted.json</t>
  </si>
  <si>
    <t>matches_merged.json</t>
  </si>
  <si>
    <t>bibliopa/data/backup/people/matches_merged.json</t>
  </si>
  <si>
    <t>unmatched_merged_orgs.json</t>
  </si>
  <si>
    <t>bibliopa/data/backup/people/inbetweens/unmatched_merged_orgs.json</t>
  </si>
  <si>
    <t>unmatched_manual_edits.json</t>
  </si>
  <si>
    <t>bibliopa/data/backup/people/inbetweens/unmatched_manual_edits.json</t>
  </si>
  <si>
    <t>to_check_new.json</t>
  </si>
  <si>
    <t>bibliopa/data/backup/people/inbetweens/to_check_new.json</t>
  </si>
  <si>
    <t>to_check_checked.json</t>
  </si>
  <si>
    <t>bibliopa/data/backup/people/inbetweens/to_check_checked.json</t>
  </si>
  <si>
    <t>to_check.json</t>
  </si>
  <si>
    <t>bibliopa/data/backup/people/inbetweens/to_check.json</t>
  </si>
  <si>
    <t>still_unmatched.json</t>
  </si>
  <si>
    <t>bibliopa/data/backup/people/inbetweens/still_unmatched.json</t>
  </si>
  <si>
    <t>single_nopes.json</t>
  </si>
  <si>
    <t>bibliopa/data/backup/people/inbetweens/single_nopes.json</t>
  </si>
  <si>
    <t>people_unmatched.json</t>
  </si>
  <si>
    <t>bibliopa/data/backup/people/inbetweens/people_unmatched.json</t>
  </si>
  <si>
    <t>nope.json</t>
  </si>
  <si>
    <t>bibliopa/data/backup/people/inbetweens/nope.json</t>
  </si>
  <si>
    <t>multiples_matched.json</t>
  </si>
  <si>
    <t>bibliopa/data/backup/people/inbetweens/multiples_matched.json</t>
  </si>
  <si>
    <t>multiples_manual_fixes.json</t>
  </si>
  <si>
    <t>bibliopa/data/backup/people/inbetweens/multiples_manual_fixes.json</t>
  </si>
  <si>
    <t>multi_person_entries_split.json</t>
  </si>
  <si>
    <t>bibliopa/data/backup/people/inbetweens/multi_person_entries_split.json</t>
  </si>
  <si>
    <t>middling_matched.json</t>
  </si>
  <si>
    <t>bibliopa/data/backup/people/inbetweens/middling_matched.json</t>
  </si>
  <si>
    <t>matched_now.json</t>
  </si>
  <si>
    <t>bibliopa/data/backup/people/inbetweens/matched_now.json</t>
  </si>
  <si>
    <t>matched_flat.json</t>
  </si>
  <si>
    <t>bibliopa/data/backup/people/inbetweens/matched_flat.json</t>
  </si>
  <si>
    <t>matched.json</t>
  </si>
  <si>
    <t>bibliopa/data/backup/people/inbetweens/matched.json</t>
  </si>
  <si>
    <t>low_likelyhood.json</t>
  </si>
  <si>
    <t>bibliopa/data/backup/people/inbetweens/low_likelyhood.json</t>
  </si>
  <si>
    <t>likely_matched.json</t>
  </si>
  <si>
    <t>bibliopa/data/backup/people/inbetweens/likely_matched.json</t>
  </si>
  <si>
    <t>check_singles.json</t>
  </si>
  <si>
    <t>bibliopa/data/backup/people/inbetweens/check_singles.json</t>
  </si>
  <si>
    <t>books_dict_notes.json</t>
  </si>
  <si>
    <t>bibliopa/data/backup/people/inbetweens/books_dict_notes.json</t>
  </si>
  <si>
    <t>examples_people_matching.json</t>
  </si>
  <si>
    <t>bibliopa/data/backup/people/examples_people_matching.json</t>
  </si>
  <si>
    <t>nopes_collected.json</t>
  </si>
  <si>
    <t>bibliopa/data/backup/people/messy_shit/inbetweens/nopes_collected.json</t>
  </si>
  <si>
    <t>bibliopa/data/backup/people/messy_shit/inbetweens/single_nopes.json</t>
  </si>
  <si>
    <t>bibliopa/data/backup/people/messy_shit/inbetweens/check_singles.json</t>
  </si>
  <si>
    <t>bibliopa/data/backup/people/messy_shit/inbetweens/to_check_new.json</t>
  </si>
  <si>
    <t>bibliopa/data/backup/people/messy_shit/inbetweens/nope.json</t>
  </si>
  <si>
    <t>bibliopa/data/backup/people/messy_shit/inbetweens/to_check.json</t>
  </si>
  <si>
    <t>bibliopa/data/backup/people/messy_shit/inbetweens/matched.json</t>
  </si>
  <si>
    <t>bibliopa/data/backup/people/messy_shit/inbetweens/to_check_checked.json</t>
  </si>
  <si>
    <t>bibliopa/data/backup/people/messy_shit/inbetweens/unmatched_merged_orgs.json</t>
  </si>
  <si>
    <t>bibliopa/data/backup/people/messy_shit/unmatched_merged.json</t>
  </si>
  <si>
    <t>bibliopa/data/backup/people/messy_shit/inbetweens/unmatched_manual_edits.json</t>
  </si>
  <si>
    <t>bibliopa/data/backup/people/messy_shit/inbetweens/multiples_manual_fixes.json</t>
  </si>
  <si>
    <t>bibliopa/data/backup/people/messy_shit/inbetweens/books_dict_notes.json</t>
  </si>
  <si>
    <t>bibliopa/data/backup/people/messy_shit/inbetweens/low_likelyhood.json</t>
  </si>
  <si>
    <t>bibliopa/data/backup/people/messy_shit/inbetweens/middling_matched.json</t>
  </si>
  <si>
    <t>bibliopa/data/backup/people/messy_shit/inbetweens/likely_matched.json</t>
  </si>
  <si>
    <t>bibliopa/data/backup/people/messy_shit/update_collisions.json</t>
  </si>
  <si>
    <t>bibliopa/data/backup/people/messy_shit/people_to_add.json</t>
  </si>
  <si>
    <t>bibliopa/data/backup/people/messy_shit/inbetweens/matched_flat.json</t>
  </si>
  <si>
    <t>bibliopa/data/backup/people/messy_shit/inbetweens/multiples_matched.json</t>
  </si>
  <si>
    <t>bibliopa/data/backup/people/messy_shit/inbetweens/matched_now.json</t>
  </si>
  <si>
    <t>bibliopa/data/backup/people/messy_shit/examples_people_matching.json</t>
  </si>
  <si>
    <t>bibliopa/data/backup/people/messy_shit/unmatched.json</t>
  </si>
  <si>
    <t>bibliopa/data/backup/people/messy_shit/inbetweens/multi_person_entries_split.json</t>
  </si>
  <si>
    <t>bibliopa/data/backup/people/messy_shit/inbetweens/still_unmatched.json</t>
  </si>
  <si>
    <t>bibliopa/data/backup/people/messy_shit/inbetweens/people_unmatched.json</t>
  </si>
  <si>
    <t>bibliopa/data/backup/people/messy_shit/people_matched.json</t>
  </si>
  <si>
    <t>bibliopa/data/backup/people/messy_shit/people_extracted.json</t>
  </si>
  <si>
    <t>filename</t>
  </si>
  <si>
    <t>book_count</t>
  </si>
  <si>
    <t>symbolkunde.json</t>
  </si>
  <si>
    <t>fremdsprachige.json</t>
  </si>
  <si>
    <t>griechenland.json</t>
  </si>
  <si>
    <t>christentum.json</t>
  </si>
  <si>
    <t>antike.json</t>
  </si>
  <si>
    <t>religion.json</t>
  </si>
  <si>
    <t>suchliste.json</t>
  </si>
  <si>
    <t>erstausgaben.json</t>
  </si>
  <si>
    <t>kinder.json</t>
  </si>
  <si>
    <t>mythologie.json</t>
  </si>
  <si>
    <t>deutschland.json</t>
  </si>
  <si>
    <t>kunstbuecher.json</t>
  </si>
  <si>
    <t>okkultismus.json</t>
  </si>
  <si>
    <t>de-lit-monographien.json</t>
  </si>
  <si>
    <t>maerchen.json</t>
  </si>
  <si>
    <t>insel.json</t>
  </si>
  <si>
    <t>zeitschriften.json</t>
  </si>
  <si>
    <t>ethnologie.json</t>
  </si>
  <si>
    <t>autographen.json</t>
  </si>
  <si>
    <t>signierte.json</t>
  </si>
  <si>
    <t>geschichte.json</t>
  </si>
  <si>
    <t>buch.json</t>
  </si>
  <si>
    <t>renaissance.json</t>
  </si>
  <si>
    <t>mittelalter.json</t>
  </si>
  <si>
    <t>russland.json</t>
  </si>
  <si>
    <t>buddhismus.json</t>
  </si>
  <si>
    <t>wien.json</t>
  </si>
  <si>
    <t>neuzeit.json</t>
  </si>
  <si>
    <t>zeitgeschichte.json</t>
  </si>
  <si>
    <t>esoterik.json</t>
  </si>
  <si>
    <t>sonstiges.json</t>
  </si>
  <si>
    <t>de-lit-texte.json</t>
  </si>
  <si>
    <t>musik.json</t>
  </si>
  <si>
    <t>monographien.json</t>
  </si>
  <si>
    <t>biographie.json</t>
  </si>
  <si>
    <t>fruehes.json</t>
  </si>
  <si>
    <t>islam.json</t>
  </si>
  <si>
    <t>aegypten.json</t>
  </si>
  <si>
    <t>reisen.json</t>
  </si>
  <si>
    <t>literatur.json</t>
  </si>
  <si>
    <t>briefe.json</t>
  </si>
  <si>
    <t>judentum.json</t>
  </si>
  <si>
    <t>bibliophile.json</t>
  </si>
  <si>
    <t>illustrierte.json</t>
  </si>
  <si>
    <t>philosophie.json</t>
  </si>
  <si>
    <t>oesterreich.json</t>
  </si>
  <si>
    <t>Total</t>
  </si>
  <si>
    <t>notes</t>
  </si>
  <si>
    <t>same as booktotal count, just comp_id, original + notes</t>
  </si>
  <si>
    <t>result from api processing, with new name fields HAVE OLD IDS</t>
  </si>
  <si>
    <t>all the people from all books, entries as list in dict WITH ROLES - was the basis for matching. All people data together shoudl amount to about 9060</t>
  </si>
  <si>
    <t>include</t>
  </si>
  <si>
    <t>have person_id OLD, unified_id, entries</t>
  </si>
  <si>
    <t>type</t>
  </si>
  <si>
    <t>base</t>
  </si>
  <si>
    <t>process</t>
  </si>
  <si>
    <t>result</t>
  </si>
  <si>
    <t>manual</t>
  </si>
  <si>
    <t>are these the new ones to create??</t>
  </si>
  <si>
    <t>mathing</t>
  </si>
  <si>
    <t>real math</t>
  </si>
  <si>
    <t>bibliopa/data/people/prepping4loading/people_clean_old_id.json</t>
  </si>
  <si>
    <t>bibliopa/data/people/prepping4loading/people_matched.json</t>
  </si>
  <si>
    <t>bibliopa/data/people/fixing_ids/people_id_mapping.json</t>
  </si>
  <si>
    <t>bibliopa/data/people/fixing_ids/b2p_data.json</t>
  </si>
  <si>
    <t>bibliopa/data/people/fixing_ids/b2p_list.json</t>
  </si>
  <si>
    <t>bibliopa/data/people/fixing_ids/matches_ready.json</t>
  </si>
  <si>
    <t>bibliopa/data/people/prepping4loading/people.json</t>
  </si>
  <si>
    <t>bibliopa/data/people/matched/matches_done_backup.json</t>
  </si>
  <si>
    <t>bibliopa/data/people/prepping4loading/NEW_people_complete_checked.json</t>
  </si>
  <si>
    <t>bibliopa/data/people/matched/matches_latest_checked.json</t>
  </si>
  <si>
    <t>bibliopa/data/people/matched/matches_from_nopes.json</t>
  </si>
  <si>
    <t>bibliopa/data/people/matched/matches_merged_with_singles.json</t>
  </si>
  <si>
    <t>bibliopa/data/people/matched/matches_merged.json</t>
  </si>
  <si>
    <t>bibliopa/data/people/matched/matches_extended.json</t>
  </si>
  <si>
    <t>people_clean_old_id.json</t>
  </si>
  <si>
    <t>people_id_mapping.json</t>
  </si>
  <si>
    <t>b2p_data.json</t>
  </si>
  <si>
    <t>b2p_list.json</t>
  </si>
  <si>
    <t>matches_ready.json</t>
  </si>
  <si>
    <t>people.json</t>
  </si>
  <si>
    <t>matches_done_backup.json</t>
  </si>
  <si>
    <t>NEW_people_complete_checked.json</t>
  </si>
  <si>
    <t>matches_latest_checked.json</t>
  </si>
  <si>
    <t>matches_from_nopes.json</t>
  </si>
  <si>
    <t>matches_extended.json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</si>
</sst>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NumberFormat="1" applyFont="1" applyFill="1" applyBorder="1" applyAlignment="1" applyProtection="1"/>
    <xf numFmtId="0" fontId="0" fillId="0" borderId="0" xfId="0" applyFill="1"/>
    <xf numFmtId="0" fontId="0" fillId="0" borderId="0" xfId="0" applyNumberFormat="1"/>
    <xf numFmtId="2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3" formatCode="#,##0"/>
    </dxf>
    <dxf>
      <numFmt numFmtId="27" formatCode="dd/mm/yy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7" formatCode="dd/mm/yyyy\ hh:mm"/>
    </dxf>
    <dxf>
      <numFmt numFmtId="19" formatCode="dd/mm/yyyy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CDB6FB-9675-8347-92B6-06FCDE34C8DE}" name="Table1" displayName="Table1" ref="A1:I74" totalsRowShown="0">
  <autoFilter ref="A1:I74" xr:uid="{5FCDB6FB-9675-8347-92B6-06FCDE34C8DE}"/>
  <sortState xmlns:xlrd2="http://schemas.microsoft.com/office/spreadsheetml/2017/richdata2" ref="A2:I74">
    <sortCondition descending="1" ref="C1:C74"/>
  </sortState>
  <tableColumns count="9">
    <tableColumn id="1" xr3:uid="{43FDB26B-D26C-094B-A137-6A80264514AF}" name="file"/>
    <tableColumn id="2" xr3:uid="{DCB5F059-0328-4545-B6EA-E0E806CCD3AE}" name="path"/>
    <tableColumn id="3" xr3:uid="{E7F61734-7062-294D-A70D-23AEE74444C9}" name="entries"/>
    <tableColumn id="4" xr3:uid="{47B9006D-7766-FC48-889C-7292BABF7C7E}" name="modified" dataDxfId="14"/>
    <tableColumn id="5" xr3:uid="{2DFD0600-1C8D-0047-B20E-B49009739E76}" name="timestamp" dataDxfId="15"/>
    <tableColumn id="6" xr3:uid="{ACABA247-E78D-AC41-A895-787961FED8A2}" name="structure"/>
    <tableColumn id="9" xr3:uid="{3FD0C551-84A7-F749-8593-5782B37E11FA}" name="include"/>
    <tableColumn id="10" xr3:uid="{A688EC2D-EB4C-6343-88A8-7F7DAE8205EB}" name="type"/>
    <tableColumn id="8" xr3:uid="{3284C24B-0786-084B-A29C-03E189AB9ED5}" name="notes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C76DCB-2200-0B41-8840-0F0C2CFD9432}" name="people_files" displayName="people_files" ref="A1:F15" totalsRowShown="0">
  <autoFilter ref="A1:F15" xr:uid="{F1C76DCB-2200-0B41-8840-0F0C2CFD9432}"/>
  <tableColumns count="6">
    <tableColumn id="6" xr3:uid="{5BA89C76-9DE9-F24F-A6D8-C2E18375B9BE}" name="filename" dataDxfId="0"/>
    <tableColumn id="1" xr3:uid="{14074DD1-2946-8D42-9002-A67A2675786D}" name="path"/>
    <tableColumn id="2" xr3:uid="{B836FE03-348B-A14C-B6D0-C7AA00C64875}" name="entries"/>
    <tableColumn id="3" xr3:uid="{AA8D2689-6988-4B46-8C27-57C2AB8FBEDF}" name="modified" dataDxfId="2"/>
    <tableColumn id="4" xr3:uid="{23E4B376-80C8-4D49-9004-1AAAEF4CE527}" name="timestamp" dataDxfId="1"/>
    <tableColumn id="5" xr3:uid="{697F52F0-C2C6-1E49-841B-CAA89A0E1C14}" name="structu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710613-5E76-3649-A801-5A00DB49B765}" name="Table4" displayName="Table4" ref="A1:I47" totalsRowCount="1" headerRowCellStyle="Normal" dataCellStyle="Normal">
  <autoFilter ref="A1:I46" xr:uid="{FF710613-5E76-3649-A801-5A00DB49B765}"/>
  <tableColumns count="9">
    <tableColumn id="1" xr3:uid="{53985F95-0B74-A54C-BBCF-2049B08ECCE9}" name="file" totalsRowLabel="Total" totalsRowDxfId="12" dataCellStyle="Normal"/>
    <tableColumn id="2" xr3:uid="{A2893621-B7E9-E143-A369-A307A3872437}" name="path" totalsRowDxfId="11" dataCellStyle="Normal"/>
    <tableColumn id="3" xr3:uid="{1890CD52-57B6-8544-9E70-4EB1E30F788F}" name="entries" totalsRowDxfId="10" dataCellStyle="Normal"/>
    <tableColumn id="4" xr3:uid="{9BFB4DB4-ACC1-C54C-A316-C91BC97648B4}" name="modified" dataDxfId="13" totalsRowDxfId="9" dataCellStyle="Normal"/>
    <tableColumn id="5" xr3:uid="{AC512ABE-E8EE-3C4A-94C8-F92BE542FD11}" name="structure" totalsRowDxfId="8" dataCellStyle="Normal"/>
    <tableColumn id="6" xr3:uid="{20ED74AA-4FC5-EC42-94A6-4D883C88502E}" name="mathing" totalsRowDxfId="7" dataCellStyle="Normal"/>
    <tableColumn id="9" xr3:uid="{133C2A72-6DD6-5E43-9972-D9CBB0C6150C}" name="real math" totalsRowFunction="custom" dataDxfId="3" totalsRowDxfId="4">
      <calculatedColumnFormula>IF(Table4[[#This Row],[mathing]]=1,Table4[[#This Row],[entries]],"")</calculatedColumnFormula>
      <totalsRowFormula>SUM(Table4[real math])</totalsRowFormula>
    </tableColumn>
    <tableColumn id="7" xr3:uid="{B6609424-0282-0041-93EB-546D0E6BDA3B}" name="type" totalsRowDxfId="6" dataCellStyle="Normal"/>
    <tableColumn id="8" xr3:uid="{B9A9D332-04F0-2F4C-9F16-2C8663D97724}" name="notes" totalsRowFunction="count" totalsRowDxfId="5" dataCellStyle="Norm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DDA5F-35AC-EF4B-9CFA-1962B918B9ED}" name="book_files" displayName="book_files" ref="A1:B48" totalsRowCount="1">
  <autoFilter ref="A1:B47" xr:uid="{A6ADDA5F-35AC-EF4B-9CFA-1962B918B9ED}"/>
  <tableColumns count="2">
    <tableColumn id="1" xr3:uid="{A797DCB2-E19A-2347-AABC-BDB646396FB0}" name="filename" totalsRowLabel="Total"/>
    <tableColumn id="2" xr3:uid="{6FEBDE53-3420-B847-82B1-70BC206D15F4}" name="book_count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2A54-3D5D-6F48-AD02-8459295A4651}">
  <dimension ref="A1:I74"/>
  <sheetViews>
    <sheetView tabSelected="1" workbookViewId="0">
      <selection activeCell="A19" sqref="A19"/>
    </sheetView>
    <sheetView topLeftCell="A19" zoomScale="114" workbookViewId="1">
      <selection activeCell="B6" sqref="B6"/>
    </sheetView>
  </sheetViews>
  <sheetFormatPr baseColWidth="10" defaultRowHeight="16" x14ac:dyDescent="0.2"/>
  <cols>
    <col min="1" max="1" width="38.5" customWidth="1"/>
    <col min="2" max="2" width="64.1640625" customWidth="1"/>
    <col min="3" max="3" width="8" customWidth="1"/>
    <col min="4" max="4" width="11.6640625" style="3" customWidth="1"/>
    <col min="5" max="5" width="4" hidden="1" customWidth="1"/>
    <col min="6" max="6" width="11" customWidth="1"/>
    <col min="7" max="8" width="7.83203125" customWidth="1"/>
    <col min="9" max="9" width="59.6640625" customWidth="1"/>
  </cols>
  <sheetData>
    <row r="1" spans="1:9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178</v>
      </c>
      <c r="H1" t="s">
        <v>180</v>
      </c>
      <c r="I1" t="s">
        <v>174</v>
      </c>
    </row>
    <row r="2" spans="1:9" x14ac:dyDescent="0.2">
      <c r="A2" t="s">
        <v>92</v>
      </c>
      <c r="B2" t="s">
        <v>93</v>
      </c>
      <c r="C2">
        <v>10933</v>
      </c>
      <c r="D2" s="3">
        <v>46152.822916666664</v>
      </c>
      <c r="E2" s="2">
        <v>1.77843510165985E+16</v>
      </c>
      <c r="F2" t="s">
        <v>15</v>
      </c>
      <c r="G2">
        <v>0</v>
      </c>
      <c r="H2" t="s">
        <v>181</v>
      </c>
      <c r="I2" t="s">
        <v>175</v>
      </c>
    </row>
    <row r="3" spans="1:9" x14ac:dyDescent="0.2">
      <c r="A3" t="s">
        <v>92</v>
      </c>
      <c r="B3" t="s">
        <v>109</v>
      </c>
      <c r="C3">
        <v>10933</v>
      </c>
      <c r="D3" s="3">
        <v>46149.586805555555</v>
      </c>
      <c r="E3" s="2">
        <v>1.77815550083082E+16</v>
      </c>
      <c r="F3" t="s">
        <v>15</v>
      </c>
      <c r="G3">
        <v>0</v>
      </c>
    </row>
    <row r="4" spans="1:9" x14ac:dyDescent="0.2">
      <c r="A4" t="s">
        <v>50</v>
      </c>
      <c r="B4" t="s">
        <v>124</v>
      </c>
      <c r="C4">
        <v>9060</v>
      </c>
      <c r="D4" s="3">
        <v>46143.512499999997</v>
      </c>
      <c r="E4" s="2">
        <v>1777630684934800</v>
      </c>
      <c r="F4" t="s">
        <v>15</v>
      </c>
      <c r="G4">
        <v>0</v>
      </c>
    </row>
    <row r="5" spans="1:9" x14ac:dyDescent="0.2">
      <c r="A5" t="s">
        <v>50</v>
      </c>
      <c r="B5" t="s">
        <v>51</v>
      </c>
      <c r="C5">
        <v>9060</v>
      </c>
      <c r="D5" s="3">
        <v>46152.822916666664</v>
      </c>
      <c r="E5" s="2">
        <v>1778435101728460</v>
      </c>
      <c r="F5" t="s">
        <v>15</v>
      </c>
      <c r="G5">
        <v>1</v>
      </c>
      <c r="I5" t="s">
        <v>177</v>
      </c>
    </row>
    <row r="6" spans="1:9" x14ac:dyDescent="0.2">
      <c r="A6" t="s">
        <v>22</v>
      </c>
      <c r="B6" t="s">
        <v>23</v>
      </c>
      <c r="C6">
        <v>7817</v>
      </c>
      <c r="D6" s="3">
        <v>46156.550694444442</v>
      </c>
      <c r="E6" s="2">
        <v>1.77875723509828E+16</v>
      </c>
      <c r="F6" t="s">
        <v>8</v>
      </c>
      <c r="G6">
        <v>1</v>
      </c>
      <c r="I6" t="s">
        <v>176</v>
      </c>
    </row>
    <row r="7" spans="1:9" x14ac:dyDescent="0.2">
      <c r="A7" t="s">
        <v>48</v>
      </c>
      <c r="B7" t="s">
        <v>123</v>
      </c>
      <c r="C7">
        <v>5595</v>
      </c>
      <c r="D7" s="3">
        <v>46143.576388888891</v>
      </c>
      <c r="E7" s="2">
        <v>1.77763622454845E+16</v>
      </c>
      <c r="F7" t="s">
        <v>15</v>
      </c>
      <c r="G7">
        <v>0</v>
      </c>
    </row>
    <row r="8" spans="1:9" x14ac:dyDescent="0.2">
      <c r="A8" t="s">
        <v>48</v>
      </c>
      <c r="B8" t="s">
        <v>49</v>
      </c>
      <c r="C8">
        <v>5595</v>
      </c>
      <c r="D8" s="3">
        <v>46152.822916666664</v>
      </c>
      <c r="E8" s="2">
        <v>1.77843510173836E+16</v>
      </c>
      <c r="F8" t="s">
        <v>15</v>
      </c>
      <c r="G8">
        <v>1</v>
      </c>
      <c r="I8" t="s">
        <v>179</v>
      </c>
    </row>
    <row r="9" spans="1:9" x14ac:dyDescent="0.2">
      <c r="A9" t="s">
        <v>68</v>
      </c>
      <c r="B9" t="s">
        <v>69</v>
      </c>
      <c r="C9">
        <v>3465</v>
      </c>
      <c r="D9" s="3">
        <v>46152.822916666664</v>
      </c>
      <c r="E9" s="2">
        <v>1778435101691460</v>
      </c>
      <c r="F9" t="s">
        <v>15</v>
      </c>
      <c r="G9">
        <v>1</v>
      </c>
      <c r="H9" t="s">
        <v>182</v>
      </c>
    </row>
    <row r="10" spans="1:9" x14ac:dyDescent="0.2">
      <c r="A10" t="s">
        <v>68</v>
      </c>
      <c r="B10" t="s">
        <v>122</v>
      </c>
      <c r="C10">
        <v>3465</v>
      </c>
      <c r="D10" s="3">
        <v>46143.576388888891</v>
      </c>
      <c r="E10" s="2">
        <v>1.77763622458016E+16</v>
      </c>
      <c r="F10" t="s">
        <v>15</v>
      </c>
      <c r="G10">
        <v>0</v>
      </c>
    </row>
    <row r="11" spans="1:9" x14ac:dyDescent="0.2">
      <c r="A11" t="s">
        <v>82</v>
      </c>
      <c r="B11" t="s">
        <v>83</v>
      </c>
      <c r="C11">
        <v>2397</v>
      </c>
      <c r="D11" s="3">
        <v>46152.822916666664</v>
      </c>
      <c r="E11" s="2">
        <v>1778435101675420</v>
      </c>
      <c r="F11" t="s">
        <v>8</v>
      </c>
      <c r="G11">
        <v>1</v>
      </c>
      <c r="H11" t="s">
        <v>183</v>
      </c>
    </row>
    <row r="12" spans="1:9" x14ac:dyDescent="0.2">
      <c r="A12" t="s">
        <v>82</v>
      </c>
      <c r="B12" t="s">
        <v>115</v>
      </c>
      <c r="C12">
        <v>2397</v>
      </c>
      <c r="D12" s="3">
        <v>46144.748611111114</v>
      </c>
      <c r="E12" s="2">
        <v>1.77773748497867E+16</v>
      </c>
      <c r="F12" t="s">
        <v>8</v>
      </c>
      <c r="G12">
        <v>0</v>
      </c>
    </row>
    <row r="13" spans="1:9" x14ac:dyDescent="0.2">
      <c r="A13" t="s">
        <v>26</v>
      </c>
      <c r="B13" t="s">
        <v>27</v>
      </c>
      <c r="C13">
        <v>1962</v>
      </c>
      <c r="D13" s="3">
        <v>46155.684027777781</v>
      </c>
      <c r="E13" s="2">
        <v>1.77868235693201E+16</v>
      </c>
      <c r="F13" t="s">
        <v>15</v>
      </c>
      <c r="G13">
        <v>1</v>
      </c>
    </row>
    <row r="14" spans="1:9" x14ac:dyDescent="0.2">
      <c r="A14" t="s">
        <v>28</v>
      </c>
      <c r="B14" t="s">
        <v>29</v>
      </c>
      <c r="C14">
        <v>1922</v>
      </c>
      <c r="D14" s="3">
        <v>46155.64166666667</v>
      </c>
      <c r="E14" s="2">
        <v>1.77867868459718E+16</v>
      </c>
      <c r="F14" t="s">
        <v>15</v>
      </c>
      <c r="G14">
        <v>1</v>
      </c>
    </row>
    <row r="15" spans="1:9" x14ac:dyDescent="0.2">
      <c r="A15" t="s">
        <v>34</v>
      </c>
      <c r="B15" t="s">
        <v>35</v>
      </c>
      <c r="C15">
        <v>1922</v>
      </c>
      <c r="D15" s="3">
        <v>46155.640277777777</v>
      </c>
      <c r="E15" s="2">
        <v>1.77867853214995E+16</v>
      </c>
      <c r="F15" t="s">
        <v>15</v>
      </c>
      <c r="G15">
        <v>0</v>
      </c>
    </row>
    <row r="16" spans="1:9" x14ac:dyDescent="0.2">
      <c r="A16" t="s">
        <v>52</v>
      </c>
      <c r="B16" t="s">
        <v>53</v>
      </c>
      <c r="C16">
        <v>1908</v>
      </c>
      <c r="D16" s="3">
        <v>46152.822916666664</v>
      </c>
      <c r="E16" s="2">
        <v>1.77843510171738E+16</v>
      </c>
      <c r="F16" t="s">
        <v>15</v>
      </c>
      <c r="G16">
        <v>1</v>
      </c>
      <c r="H16" t="s">
        <v>183</v>
      </c>
    </row>
    <row r="17" spans="1:8" x14ac:dyDescent="0.2">
      <c r="A17" t="s">
        <v>9</v>
      </c>
      <c r="B17" t="s">
        <v>42</v>
      </c>
      <c r="C17">
        <v>1860</v>
      </c>
      <c r="D17" s="3">
        <v>46152.822916666664</v>
      </c>
      <c r="E17" s="2">
        <v>1.77843510175234E+16</v>
      </c>
      <c r="F17" t="s">
        <v>8</v>
      </c>
      <c r="G17">
        <v>1</v>
      </c>
    </row>
    <row r="18" spans="1:8" x14ac:dyDescent="0.2">
      <c r="A18" t="s">
        <v>9</v>
      </c>
      <c r="B18" t="s">
        <v>10</v>
      </c>
      <c r="C18">
        <v>1859</v>
      </c>
      <c r="D18" s="3">
        <v>46157.652083333334</v>
      </c>
      <c r="E18" s="2">
        <v>1.77885234609678E+16</v>
      </c>
      <c r="F18" t="s">
        <v>8</v>
      </c>
      <c r="G18">
        <v>1</v>
      </c>
    </row>
    <row r="19" spans="1:8" x14ac:dyDescent="0.2">
      <c r="A19" t="s">
        <v>80</v>
      </c>
      <c r="B19" t="s">
        <v>81</v>
      </c>
      <c r="C19">
        <v>1856</v>
      </c>
      <c r="D19" s="3">
        <v>46152.822916666664</v>
      </c>
      <c r="E19" s="2">
        <v>1.77843510167976E+16</v>
      </c>
      <c r="F19" t="s">
        <v>15</v>
      </c>
      <c r="G19">
        <v>1</v>
      </c>
      <c r="H19" t="s">
        <v>183</v>
      </c>
    </row>
    <row r="20" spans="1:8" x14ac:dyDescent="0.2">
      <c r="A20" t="s">
        <v>80</v>
      </c>
      <c r="B20" t="s">
        <v>117</v>
      </c>
      <c r="C20">
        <v>1856</v>
      </c>
      <c r="D20" s="3">
        <v>46144.647222222222</v>
      </c>
      <c r="E20" s="2">
        <v>1777728765313400</v>
      </c>
      <c r="F20" t="s">
        <v>15</v>
      </c>
      <c r="G20">
        <v>0</v>
      </c>
    </row>
    <row r="21" spans="1:8" x14ac:dyDescent="0.2">
      <c r="A21" t="s">
        <v>64</v>
      </c>
      <c r="B21" t="s">
        <v>65</v>
      </c>
      <c r="C21">
        <v>1609</v>
      </c>
      <c r="D21" s="3">
        <v>46152.822916666664</v>
      </c>
      <c r="E21" s="2">
        <v>1778435101700550</v>
      </c>
      <c r="F21" t="s">
        <v>15</v>
      </c>
      <c r="G21">
        <v>1</v>
      </c>
      <c r="H21" t="s">
        <v>183</v>
      </c>
    </row>
    <row r="22" spans="1:8" x14ac:dyDescent="0.2">
      <c r="A22" t="s">
        <v>64</v>
      </c>
      <c r="B22" t="s">
        <v>121</v>
      </c>
      <c r="C22">
        <v>1609</v>
      </c>
      <c r="D22" s="3">
        <v>46143.67291666667</v>
      </c>
      <c r="E22" s="2">
        <v>1.77764454307069E+16</v>
      </c>
      <c r="F22" t="s">
        <v>15</v>
      </c>
      <c r="G22">
        <v>0</v>
      </c>
    </row>
    <row r="23" spans="1:8" x14ac:dyDescent="0.2">
      <c r="A23" t="s">
        <v>54</v>
      </c>
      <c r="B23" t="s">
        <v>55</v>
      </c>
      <c r="C23">
        <v>1605</v>
      </c>
      <c r="D23" s="3">
        <v>46152.822916666664</v>
      </c>
      <c r="E23" s="2">
        <v>1.77843510171443E+16</v>
      </c>
      <c r="F23" t="s">
        <v>15</v>
      </c>
      <c r="G23">
        <v>1</v>
      </c>
      <c r="H23" t="s">
        <v>183</v>
      </c>
    </row>
    <row r="24" spans="1:8" x14ac:dyDescent="0.2">
      <c r="A24" t="s">
        <v>54</v>
      </c>
      <c r="B24" t="s">
        <v>105</v>
      </c>
      <c r="C24">
        <v>1605</v>
      </c>
      <c r="D24" s="3">
        <v>46149.586805555555</v>
      </c>
      <c r="E24" s="2">
        <v>1.77815550101549E+16</v>
      </c>
      <c r="F24" t="s">
        <v>15</v>
      </c>
      <c r="G24">
        <v>0</v>
      </c>
    </row>
    <row r="25" spans="1:8" x14ac:dyDescent="0.2">
      <c r="A25" t="s">
        <v>40</v>
      </c>
      <c r="B25" t="s">
        <v>106</v>
      </c>
      <c r="C25">
        <v>1587</v>
      </c>
      <c r="D25" s="3">
        <v>46149.586805555555</v>
      </c>
      <c r="E25" s="2">
        <v>1.77815550097775E+16</v>
      </c>
      <c r="F25" t="s">
        <v>15</v>
      </c>
      <c r="G25">
        <v>0</v>
      </c>
    </row>
    <row r="26" spans="1:8" x14ac:dyDescent="0.2">
      <c r="A26" t="s">
        <v>40</v>
      </c>
      <c r="B26" t="s">
        <v>41</v>
      </c>
      <c r="C26">
        <v>1587</v>
      </c>
      <c r="D26" s="3">
        <v>46152.822916666664</v>
      </c>
      <c r="E26" s="2">
        <v>1.7784351017557E+16</v>
      </c>
      <c r="F26" t="s">
        <v>15</v>
      </c>
      <c r="G26">
        <v>1</v>
      </c>
      <c r="H26" t="s">
        <v>183</v>
      </c>
    </row>
    <row r="27" spans="1:8" x14ac:dyDescent="0.2">
      <c r="A27" t="s">
        <v>43</v>
      </c>
      <c r="B27" t="s">
        <v>119</v>
      </c>
      <c r="C27">
        <v>1575</v>
      </c>
      <c r="D27" s="3">
        <v>46144.56527777778</v>
      </c>
      <c r="E27" s="2">
        <v>1.77772166353322E+16</v>
      </c>
      <c r="F27" t="s">
        <v>15</v>
      </c>
      <c r="G27">
        <v>1</v>
      </c>
      <c r="H27" t="s">
        <v>181</v>
      </c>
    </row>
    <row r="28" spans="1:8" x14ac:dyDescent="0.2">
      <c r="A28" t="s">
        <v>43</v>
      </c>
      <c r="B28" t="s">
        <v>44</v>
      </c>
      <c r="C28">
        <v>1575</v>
      </c>
      <c r="D28" s="3">
        <v>46152.822916666664</v>
      </c>
      <c r="E28" s="2">
        <v>1.77843510174845E+16</v>
      </c>
      <c r="F28" t="s">
        <v>15</v>
      </c>
      <c r="G28">
        <v>0</v>
      </c>
    </row>
    <row r="29" spans="1:8" x14ac:dyDescent="0.2">
      <c r="A29" t="s">
        <v>56</v>
      </c>
      <c r="B29" t="s">
        <v>57</v>
      </c>
      <c r="C29">
        <v>1523</v>
      </c>
      <c r="D29" s="3">
        <v>46152.822916666664</v>
      </c>
      <c r="E29" s="2">
        <v>1.77843510170774E+16</v>
      </c>
      <c r="F29" t="s">
        <v>15</v>
      </c>
      <c r="G29">
        <v>1</v>
      </c>
      <c r="H29" t="s">
        <v>183</v>
      </c>
    </row>
    <row r="30" spans="1:8" x14ac:dyDescent="0.2">
      <c r="A30" t="s">
        <v>56</v>
      </c>
      <c r="B30" t="s">
        <v>107</v>
      </c>
      <c r="C30">
        <v>1523</v>
      </c>
      <c r="D30" s="3">
        <v>46149.586805555555</v>
      </c>
      <c r="E30" s="2">
        <v>1.77815550090708E+16</v>
      </c>
      <c r="F30" t="s">
        <v>15</v>
      </c>
      <c r="G30">
        <v>0</v>
      </c>
    </row>
    <row r="31" spans="1:8" x14ac:dyDescent="0.2">
      <c r="A31" t="s">
        <v>70</v>
      </c>
      <c r="B31" t="s">
        <v>101</v>
      </c>
      <c r="C31">
        <v>1239</v>
      </c>
      <c r="D31" s="3">
        <v>46152.560416666667</v>
      </c>
      <c r="E31" s="2">
        <v>1.77841245045933E+16</v>
      </c>
      <c r="F31" t="s">
        <v>15</v>
      </c>
      <c r="G31">
        <v>0</v>
      </c>
    </row>
    <row r="32" spans="1:8" x14ac:dyDescent="0.2">
      <c r="A32" t="s">
        <v>96</v>
      </c>
      <c r="B32" t="s">
        <v>97</v>
      </c>
      <c r="C32">
        <v>1239</v>
      </c>
      <c r="D32" s="3">
        <v>46152.815972222219</v>
      </c>
      <c r="E32" s="2">
        <v>1.77843452583905E+16</v>
      </c>
      <c r="F32" t="s">
        <v>15</v>
      </c>
      <c r="G32">
        <v>1</v>
      </c>
      <c r="H32" t="s">
        <v>183</v>
      </c>
    </row>
    <row r="33" spans="1:9" x14ac:dyDescent="0.2">
      <c r="A33" t="s">
        <v>70</v>
      </c>
      <c r="B33" t="s">
        <v>97</v>
      </c>
      <c r="C33">
        <v>1232</v>
      </c>
      <c r="D33" s="3">
        <v>46152.822916666664</v>
      </c>
      <c r="E33" s="2">
        <v>1.77843510168523E+16</v>
      </c>
      <c r="F33" t="s">
        <v>15</v>
      </c>
      <c r="G33">
        <v>1</v>
      </c>
      <c r="H33" t="s">
        <v>182</v>
      </c>
    </row>
    <row r="34" spans="1:9" x14ac:dyDescent="0.2">
      <c r="A34" t="s">
        <v>32</v>
      </c>
      <c r="B34" t="s">
        <v>33</v>
      </c>
      <c r="C34">
        <v>1224</v>
      </c>
      <c r="D34" s="3">
        <v>46155.640972222223</v>
      </c>
      <c r="E34" s="2">
        <v>1.77867861737308E+16</v>
      </c>
      <c r="F34" t="s">
        <v>15</v>
      </c>
      <c r="G34">
        <v>1</v>
      </c>
      <c r="H34" t="s">
        <v>183</v>
      </c>
    </row>
    <row r="35" spans="1:9" x14ac:dyDescent="0.2">
      <c r="A35" t="s">
        <v>24</v>
      </c>
      <c r="B35" t="s">
        <v>25</v>
      </c>
      <c r="C35">
        <v>1224</v>
      </c>
      <c r="D35" s="3">
        <v>46155.706944444442</v>
      </c>
      <c r="E35" s="2">
        <v>1778684291909770</v>
      </c>
      <c r="F35" t="s">
        <v>15</v>
      </c>
      <c r="G35">
        <v>0</v>
      </c>
    </row>
    <row r="36" spans="1:9" x14ac:dyDescent="0.2">
      <c r="A36" t="s">
        <v>30</v>
      </c>
      <c r="B36" t="s">
        <v>31</v>
      </c>
      <c r="C36">
        <v>1224</v>
      </c>
      <c r="D36" s="3">
        <v>46155.64166666667</v>
      </c>
      <c r="E36" s="2">
        <v>177867864882429</v>
      </c>
      <c r="F36" t="s">
        <v>15</v>
      </c>
      <c r="G36">
        <v>0</v>
      </c>
    </row>
    <row r="37" spans="1:9" x14ac:dyDescent="0.2">
      <c r="A37" t="s">
        <v>20</v>
      </c>
      <c r="B37" t="s">
        <v>21</v>
      </c>
      <c r="C37">
        <v>1222</v>
      </c>
      <c r="D37" s="3">
        <v>46156.554861111108</v>
      </c>
      <c r="E37" s="2">
        <v>1.77875756286293E+16</v>
      </c>
      <c r="F37" t="s">
        <v>8</v>
      </c>
      <c r="G37">
        <v>1</v>
      </c>
      <c r="H37" t="s">
        <v>182</v>
      </c>
    </row>
    <row r="38" spans="1:9" x14ac:dyDescent="0.2">
      <c r="A38" t="s">
        <v>11</v>
      </c>
      <c r="B38" t="s">
        <v>12</v>
      </c>
      <c r="C38">
        <v>1180</v>
      </c>
      <c r="D38" s="3">
        <v>46157.64166666667</v>
      </c>
      <c r="E38" s="2">
        <v>1.77885147231636E+16</v>
      </c>
      <c r="F38" t="s">
        <v>8</v>
      </c>
      <c r="G38">
        <v>1</v>
      </c>
      <c r="H38" t="s">
        <v>182</v>
      </c>
    </row>
    <row r="39" spans="1:9" x14ac:dyDescent="0.2">
      <c r="A39" t="s">
        <v>6</v>
      </c>
      <c r="B39" t="s">
        <v>7</v>
      </c>
      <c r="C39">
        <v>1169</v>
      </c>
      <c r="D39" s="3">
        <v>46157.675694444442</v>
      </c>
      <c r="E39" s="2">
        <v>1.77885443125666E+16</v>
      </c>
      <c r="F39" t="s">
        <v>8</v>
      </c>
      <c r="G39">
        <v>1</v>
      </c>
      <c r="H39" t="s">
        <v>183</v>
      </c>
      <c r="I39" t="s">
        <v>185</v>
      </c>
    </row>
    <row r="40" spans="1:9" x14ac:dyDescent="0.2">
      <c r="A40" t="s">
        <v>86</v>
      </c>
      <c r="B40" t="s">
        <v>87</v>
      </c>
      <c r="C40">
        <v>772</v>
      </c>
      <c r="D40" s="3">
        <v>46152.822916666664</v>
      </c>
      <c r="E40" s="2">
        <v>1.77843510167159E+16</v>
      </c>
      <c r="F40" t="s">
        <v>15</v>
      </c>
      <c r="G40">
        <v>0</v>
      </c>
      <c r="H40" t="s">
        <v>182</v>
      </c>
    </row>
    <row r="41" spans="1:9" x14ac:dyDescent="0.2">
      <c r="A41" t="s">
        <v>86</v>
      </c>
      <c r="B41" t="s">
        <v>110</v>
      </c>
      <c r="C41">
        <v>772</v>
      </c>
      <c r="D41" s="3">
        <v>46148.959722222222</v>
      </c>
      <c r="E41" s="2">
        <v>1.77810137554314E+16</v>
      </c>
      <c r="F41" t="s">
        <v>15</v>
      </c>
      <c r="G41">
        <v>0</v>
      </c>
    </row>
    <row r="42" spans="1:9" x14ac:dyDescent="0.2">
      <c r="A42" t="s">
        <v>84</v>
      </c>
      <c r="B42" t="s">
        <v>85</v>
      </c>
      <c r="C42">
        <v>324</v>
      </c>
      <c r="D42" s="3">
        <v>46152.822916666664</v>
      </c>
      <c r="E42" s="2">
        <v>1778435101673440</v>
      </c>
      <c r="F42" t="s">
        <v>15</v>
      </c>
      <c r="G42">
        <v>1</v>
      </c>
      <c r="H42" t="s">
        <v>183</v>
      </c>
    </row>
    <row r="43" spans="1:9" x14ac:dyDescent="0.2">
      <c r="A43" t="s">
        <v>84</v>
      </c>
      <c r="B43" t="s">
        <v>103</v>
      </c>
      <c r="C43">
        <v>324</v>
      </c>
      <c r="D43" s="3">
        <v>46152.560416666667</v>
      </c>
      <c r="E43" s="2">
        <v>1.77841245040745E+16</v>
      </c>
      <c r="F43" t="s">
        <v>15</v>
      </c>
      <c r="G43">
        <v>0</v>
      </c>
    </row>
    <row r="44" spans="1:9" x14ac:dyDescent="0.2">
      <c r="A44" t="s">
        <v>78</v>
      </c>
      <c r="B44" t="s">
        <v>79</v>
      </c>
      <c r="C44">
        <v>158</v>
      </c>
      <c r="D44" s="3">
        <v>46152.822916666664</v>
      </c>
      <c r="E44" s="2">
        <v>1.77843510168058E+16</v>
      </c>
      <c r="F44" t="s">
        <v>15</v>
      </c>
      <c r="G44">
        <v>0</v>
      </c>
      <c r="H44" t="s">
        <v>182</v>
      </c>
    </row>
    <row r="45" spans="1:9" x14ac:dyDescent="0.2">
      <c r="A45" t="s">
        <v>78</v>
      </c>
      <c r="B45" t="s">
        <v>111</v>
      </c>
      <c r="C45">
        <v>158</v>
      </c>
      <c r="D45" s="3">
        <v>46148.959722222222</v>
      </c>
      <c r="E45" s="2">
        <v>1778101375536810</v>
      </c>
      <c r="F45" t="s">
        <v>15</v>
      </c>
      <c r="G45">
        <v>0</v>
      </c>
    </row>
    <row r="46" spans="1:9" x14ac:dyDescent="0.2">
      <c r="A46" t="s">
        <v>90</v>
      </c>
      <c r="B46" t="s">
        <v>91</v>
      </c>
      <c r="C46">
        <v>116</v>
      </c>
      <c r="D46" s="3">
        <v>46152.822916666664</v>
      </c>
      <c r="E46" s="2">
        <v>1.77843510166976E+16</v>
      </c>
      <c r="F46" t="s">
        <v>15</v>
      </c>
      <c r="G46">
        <v>0</v>
      </c>
      <c r="H46" t="s">
        <v>182</v>
      </c>
    </row>
    <row r="47" spans="1:9" x14ac:dyDescent="0.2">
      <c r="A47" t="s">
        <v>90</v>
      </c>
      <c r="B47" t="s">
        <v>99</v>
      </c>
      <c r="C47">
        <v>116</v>
      </c>
      <c r="D47" s="3">
        <v>46152.767361111109</v>
      </c>
      <c r="E47" s="2">
        <v>1778430356411680</v>
      </c>
      <c r="F47" t="s">
        <v>15</v>
      </c>
      <c r="G47">
        <v>0</v>
      </c>
    </row>
    <row r="48" spans="1:9" x14ac:dyDescent="0.2">
      <c r="A48" t="s">
        <v>13</v>
      </c>
      <c r="B48" t="s">
        <v>14</v>
      </c>
      <c r="C48">
        <v>107</v>
      </c>
      <c r="D48" s="3">
        <v>46157.631249999999</v>
      </c>
      <c r="E48" s="2">
        <v>1.77885057584672E+16</v>
      </c>
      <c r="F48" t="s">
        <v>15</v>
      </c>
      <c r="G48">
        <v>1</v>
      </c>
      <c r="H48" t="s">
        <v>182</v>
      </c>
    </row>
    <row r="49" spans="1:8" x14ac:dyDescent="0.2">
      <c r="A49" t="s">
        <v>66</v>
      </c>
      <c r="B49" t="s">
        <v>67</v>
      </c>
      <c r="C49">
        <v>69</v>
      </c>
      <c r="D49" s="3">
        <v>46152.822916666664</v>
      </c>
      <c r="E49" s="2">
        <v>1.77843510169611E+16</v>
      </c>
      <c r="F49" t="s">
        <v>15</v>
      </c>
      <c r="G49">
        <v>0</v>
      </c>
      <c r="H49" t="s">
        <v>182</v>
      </c>
    </row>
    <row r="50" spans="1:8" x14ac:dyDescent="0.2">
      <c r="A50" t="s">
        <v>66</v>
      </c>
      <c r="B50" t="s">
        <v>98</v>
      </c>
      <c r="C50">
        <v>69</v>
      </c>
      <c r="D50" s="3">
        <v>46152.79583333333</v>
      </c>
      <c r="E50" s="2">
        <v>1.77843281774537E+16</v>
      </c>
      <c r="F50" t="s">
        <v>15</v>
      </c>
      <c r="G50">
        <v>0</v>
      </c>
      <c r="H50" t="s">
        <v>182</v>
      </c>
    </row>
    <row r="51" spans="1:8" x14ac:dyDescent="0.2">
      <c r="A51" t="s">
        <v>88</v>
      </c>
      <c r="B51" t="s">
        <v>89</v>
      </c>
      <c r="C51">
        <v>64</v>
      </c>
      <c r="D51" s="3">
        <v>46152.822916666664</v>
      </c>
      <c r="E51" s="2">
        <v>1778435101670380</v>
      </c>
      <c r="F51" t="s">
        <v>15</v>
      </c>
      <c r="G51">
        <v>0</v>
      </c>
      <c r="H51" t="s">
        <v>182</v>
      </c>
    </row>
    <row r="52" spans="1:8" x14ac:dyDescent="0.2">
      <c r="A52" t="s">
        <v>88</v>
      </c>
      <c r="B52" t="s">
        <v>112</v>
      </c>
      <c r="C52">
        <v>64</v>
      </c>
      <c r="D52" s="3">
        <v>46148.956250000003</v>
      </c>
      <c r="E52" s="2">
        <v>1.77810106138495E+16</v>
      </c>
      <c r="F52" t="s">
        <v>15</v>
      </c>
      <c r="G52">
        <v>0</v>
      </c>
    </row>
    <row r="53" spans="1:8" x14ac:dyDescent="0.2">
      <c r="A53" t="s">
        <v>72</v>
      </c>
      <c r="B53" t="s">
        <v>73</v>
      </c>
      <c r="C53">
        <v>63</v>
      </c>
      <c r="D53" s="3">
        <v>46152.822916666664</v>
      </c>
      <c r="E53" s="2">
        <v>1.77843510168197E+16</v>
      </c>
      <c r="F53" t="s">
        <v>15</v>
      </c>
      <c r="G53">
        <v>1</v>
      </c>
      <c r="H53" t="s">
        <v>182</v>
      </c>
    </row>
    <row r="54" spans="1:8" x14ac:dyDescent="0.2">
      <c r="A54" t="s">
        <v>72</v>
      </c>
      <c r="B54" t="s">
        <v>116</v>
      </c>
      <c r="C54">
        <v>63</v>
      </c>
      <c r="D54" s="3">
        <v>46144.688888888886</v>
      </c>
      <c r="E54" s="2">
        <v>1.77773234667601E+16</v>
      </c>
      <c r="F54" t="s">
        <v>15</v>
      </c>
      <c r="G54">
        <v>0</v>
      </c>
    </row>
    <row r="55" spans="1:8" x14ac:dyDescent="0.2">
      <c r="A55" t="s">
        <v>60</v>
      </c>
      <c r="B55" t="s">
        <v>61</v>
      </c>
      <c r="C55">
        <v>37</v>
      </c>
      <c r="D55" s="3">
        <v>46152.822916666664</v>
      </c>
      <c r="E55" s="2">
        <v>1.77843510170278E+16</v>
      </c>
      <c r="F55" t="s">
        <v>15</v>
      </c>
      <c r="G55">
        <v>1</v>
      </c>
      <c r="H55" t="s">
        <v>183</v>
      </c>
    </row>
    <row r="56" spans="1:8" x14ac:dyDescent="0.2">
      <c r="A56" t="s">
        <v>58</v>
      </c>
      <c r="B56" t="s">
        <v>59</v>
      </c>
      <c r="C56">
        <v>37</v>
      </c>
      <c r="D56" s="3">
        <v>46152.822916666664</v>
      </c>
      <c r="E56" s="2">
        <v>1778435101703740</v>
      </c>
      <c r="F56" t="s">
        <v>15</v>
      </c>
      <c r="G56">
        <v>0</v>
      </c>
      <c r="H56" t="s">
        <v>182</v>
      </c>
    </row>
    <row r="57" spans="1:8" x14ac:dyDescent="0.2">
      <c r="A57" t="s">
        <v>62</v>
      </c>
      <c r="B57" t="s">
        <v>63</v>
      </c>
      <c r="C57">
        <v>37</v>
      </c>
      <c r="D57" s="3">
        <v>46152.822916666664</v>
      </c>
      <c r="E57" s="2">
        <v>1.77843510170178E+16</v>
      </c>
      <c r="F57" t="s">
        <v>15</v>
      </c>
      <c r="G57">
        <v>0</v>
      </c>
      <c r="H57" t="s">
        <v>182</v>
      </c>
    </row>
    <row r="58" spans="1:8" x14ac:dyDescent="0.2">
      <c r="A58" t="s">
        <v>60</v>
      </c>
      <c r="B58" t="s">
        <v>104</v>
      </c>
      <c r="C58">
        <v>37</v>
      </c>
      <c r="D58" s="3">
        <v>46152.506944444445</v>
      </c>
      <c r="E58" s="2">
        <v>1.77840785516905E+16</v>
      </c>
      <c r="F58" t="s">
        <v>15</v>
      </c>
      <c r="G58">
        <v>0</v>
      </c>
    </row>
    <row r="59" spans="1:8" x14ac:dyDescent="0.2">
      <c r="A59" t="s">
        <v>58</v>
      </c>
      <c r="B59" t="s">
        <v>100</v>
      </c>
      <c r="C59">
        <v>37</v>
      </c>
      <c r="D59" s="3">
        <v>46152.572222222225</v>
      </c>
      <c r="E59" s="2">
        <v>1.77841349384708E+16</v>
      </c>
      <c r="F59" t="s">
        <v>15</v>
      </c>
      <c r="G59">
        <v>0</v>
      </c>
    </row>
    <row r="60" spans="1:8" x14ac:dyDescent="0.2">
      <c r="A60" t="s">
        <v>62</v>
      </c>
      <c r="B60" t="s">
        <v>102</v>
      </c>
      <c r="C60">
        <v>37</v>
      </c>
      <c r="D60" s="3">
        <v>46152.560416666667</v>
      </c>
      <c r="E60" s="2">
        <v>1.77841245041015E+16</v>
      </c>
      <c r="F60" t="s">
        <v>15</v>
      </c>
      <c r="G60">
        <v>0</v>
      </c>
    </row>
    <row r="61" spans="1:8" x14ac:dyDescent="0.2">
      <c r="A61" t="s">
        <v>76</v>
      </c>
      <c r="B61" t="s">
        <v>77</v>
      </c>
      <c r="C61">
        <v>34</v>
      </c>
      <c r="D61" s="3">
        <v>46152.822916666664</v>
      </c>
      <c r="E61" s="2">
        <v>1778435101681060</v>
      </c>
      <c r="F61" t="s">
        <v>15</v>
      </c>
      <c r="G61">
        <v>0</v>
      </c>
      <c r="H61" t="s">
        <v>182</v>
      </c>
    </row>
    <row r="62" spans="1:8" x14ac:dyDescent="0.2">
      <c r="A62" t="s">
        <v>74</v>
      </c>
      <c r="B62" t="s">
        <v>75</v>
      </c>
      <c r="C62">
        <v>34</v>
      </c>
      <c r="D62" s="3">
        <v>46152.822916666664</v>
      </c>
      <c r="E62" s="2">
        <v>1.77843510168143E+16</v>
      </c>
      <c r="F62" t="s">
        <v>15</v>
      </c>
      <c r="G62">
        <v>0</v>
      </c>
      <c r="H62" t="s">
        <v>182</v>
      </c>
    </row>
    <row r="63" spans="1:8" x14ac:dyDescent="0.2">
      <c r="A63" t="s">
        <v>76</v>
      </c>
      <c r="B63" t="s">
        <v>120</v>
      </c>
      <c r="C63">
        <v>34</v>
      </c>
      <c r="D63" s="3">
        <v>46144.54583333333</v>
      </c>
      <c r="E63" s="2">
        <v>1777719986696810</v>
      </c>
      <c r="F63" t="s">
        <v>15</v>
      </c>
      <c r="G63">
        <v>0</v>
      </c>
      <c r="H63" t="s">
        <v>182</v>
      </c>
    </row>
    <row r="64" spans="1:8" x14ac:dyDescent="0.2">
      <c r="A64" t="s">
        <v>74</v>
      </c>
      <c r="B64" t="s">
        <v>108</v>
      </c>
      <c r="C64">
        <v>34</v>
      </c>
      <c r="D64" s="3">
        <v>46149.586805555555</v>
      </c>
      <c r="E64" s="2">
        <v>1.77815550089554E+16</v>
      </c>
      <c r="F64" t="s">
        <v>15</v>
      </c>
      <c r="G64">
        <v>0</v>
      </c>
    </row>
    <row r="65" spans="1:8" x14ac:dyDescent="0.2">
      <c r="A65" t="s">
        <v>46</v>
      </c>
      <c r="B65" t="s">
        <v>114</v>
      </c>
      <c r="C65">
        <v>18</v>
      </c>
      <c r="D65" s="3">
        <v>46147.657638888886</v>
      </c>
      <c r="E65" s="2">
        <v>1.77798887629773E+16</v>
      </c>
      <c r="F65" t="s">
        <v>8</v>
      </c>
      <c r="G65">
        <v>0</v>
      </c>
      <c r="H65" t="s">
        <v>182</v>
      </c>
    </row>
    <row r="66" spans="1:8" x14ac:dyDescent="0.2">
      <c r="A66" t="s">
        <v>46</v>
      </c>
      <c r="B66" t="s">
        <v>47</v>
      </c>
      <c r="C66">
        <v>18</v>
      </c>
      <c r="D66" s="3">
        <v>46152.822916666664</v>
      </c>
      <c r="E66" s="2">
        <v>1.7784351017456E+16</v>
      </c>
      <c r="F66" t="s">
        <v>8</v>
      </c>
      <c r="G66">
        <v>0</v>
      </c>
      <c r="H66" t="s">
        <v>182</v>
      </c>
    </row>
    <row r="67" spans="1:8" x14ac:dyDescent="0.2">
      <c r="A67" t="s">
        <v>36</v>
      </c>
      <c r="B67" t="s">
        <v>45</v>
      </c>
      <c r="C67">
        <v>18</v>
      </c>
      <c r="D67" s="3">
        <v>46152.822916666664</v>
      </c>
      <c r="E67" s="2">
        <v>1778435101746960</v>
      </c>
      <c r="F67" t="s">
        <v>8</v>
      </c>
      <c r="G67">
        <v>0</v>
      </c>
      <c r="H67" t="s">
        <v>182</v>
      </c>
    </row>
    <row r="68" spans="1:8" x14ac:dyDescent="0.2">
      <c r="A68" t="s">
        <v>36</v>
      </c>
      <c r="B68" t="s">
        <v>37</v>
      </c>
      <c r="C68">
        <v>16</v>
      </c>
      <c r="D68" s="3">
        <v>46154.572222222225</v>
      </c>
      <c r="E68" s="2">
        <v>1.7785862993552E+16</v>
      </c>
      <c r="F68" t="s">
        <v>8</v>
      </c>
      <c r="G68">
        <v>0</v>
      </c>
    </row>
    <row r="69" spans="1:8" x14ac:dyDescent="0.2">
      <c r="A69" t="s">
        <v>94</v>
      </c>
      <c r="B69" t="s">
        <v>95</v>
      </c>
      <c r="C69">
        <v>13</v>
      </c>
      <c r="D69" s="3">
        <v>46152.822916666664</v>
      </c>
      <c r="E69" s="2">
        <v>1.77843510165414E+16</v>
      </c>
      <c r="F69" t="s">
        <v>15</v>
      </c>
      <c r="G69">
        <v>0</v>
      </c>
      <c r="H69" t="s">
        <v>184</v>
      </c>
    </row>
    <row r="70" spans="1:8" x14ac:dyDescent="0.2">
      <c r="A70" t="s">
        <v>94</v>
      </c>
      <c r="B70" t="s">
        <v>118</v>
      </c>
      <c r="C70">
        <v>13</v>
      </c>
      <c r="D70" s="3">
        <v>46144.593055555553</v>
      </c>
      <c r="E70" s="2">
        <v>1.77772404358876E+16</v>
      </c>
      <c r="F70" t="s">
        <v>15</v>
      </c>
      <c r="G70">
        <v>0</v>
      </c>
    </row>
    <row r="71" spans="1:8" x14ac:dyDescent="0.2">
      <c r="A71" t="s">
        <v>18</v>
      </c>
      <c r="B71" t="s">
        <v>19</v>
      </c>
      <c r="C71">
        <v>6</v>
      </c>
      <c r="D71" s="3">
        <v>46156.589583333334</v>
      </c>
      <c r="E71" s="2">
        <v>1778760585636210</v>
      </c>
      <c r="F71" t="s">
        <v>8</v>
      </c>
      <c r="G71">
        <v>0</v>
      </c>
      <c r="H71" t="s">
        <v>184</v>
      </c>
    </row>
    <row r="72" spans="1:8" x14ac:dyDescent="0.2">
      <c r="A72" t="s">
        <v>16</v>
      </c>
      <c r="B72" t="s">
        <v>17</v>
      </c>
      <c r="C72">
        <v>4</v>
      </c>
      <c r="D72" s="3">
        <v>46156.597916666666</v>
      </c>
      <c r="E72" s="2">
        <v>1.77876127360484E+16</v>
      </c>
      <c r="F72" t="s">
        <v>8</v>
      </c>
      <c r="G72">
        <v>0</v>
      </c>
      <c r="H72" t="s">
        <v>184</v>
      </c>
    </row>
    <row r="73" spans="1:8" x14ac:dyDescent="0.2">
      <c r="A73" t="s">
        <v>38</v>
      </c>
      <c r="B73" t="s">
        <v>113</v>
      </c>
      <c r="C73">
        <v>2</v>
      </c>
      <c r="D73" s="3">
        <v>46148.847222222219</v>
      </c>
      <c r="E73" s="2">
        <v>1.77809164945564E+16</v>
      </c>
      <c r="F73" t="s">
        <v>8</v>
      </c>
      <c r="G73">
        <v>0</v>
      </c>
      <c r="H73" t="s">
        <v>182</v>
      </c>
    </row>
    <row r="74" spans="1:8" x14ac:dyDescent="0.2">
      <c r="A74" t="s">
        <v>38</v>
      </c>
      <c r="B74" t="s">
        <v>39</v>
      </c>
      <c r="C74">
        <v>2</v>
      </c>
      <c r="D74" s="3">
        <v>46152.822916666664</v>
      </c>
      <c r="E74" s="2">
        <v>1.77843510175886E+16</v>
      </c>
      <c r="F74" t="s">
        <v>8</v>
      </c>
      <c r="G74">
        <v>0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D7BE-6881-DA41-920D-0F1745E06DD7}">
  <dimension ref="A1:F15"/>
  <sheetViews>
    <sheetView workbookViewId="0"/>
    <sheetView workbookViewId="1">
      <selection activeCell="F2" sqref="F2:F15"/>
    </sheetView>
  </sheetViews>
  <sheetFormatPr baseColWidth="10" defaultRowHeight="16" x14ac:dyDescent="0.2"/>
  <cols>
    <col min="1" max="1" width="23.6640625" customWidth="1"/>
    <col min="2" max="2" width="54.83203125" customWidth="1"/>
    <col min="4" max="4" width="18.33203125" customWidth="1"/>
    <col min="6" max="6" width="12.1640625" customWidth="1"/>
    <col min="7" max="7" width="11" customWidth="1"/>
  </cols>
  <sheetData>
    <row r="1" spans="1:6" x14ac:dyDescent="0.2">
      <c r="A1" t="s">
        <v>125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202</v>
      </c>
      <c r="B2" t="s">
        <v>188</v>
      </c>
      <c r="C2">
        <v>7817</v>
      </c>
      <c r="D2" s="1">
        <v>46161.476388888892</v>
      </c>
      <c r="E2" s="2">
        <v>1.77918278179647E+16</v>
      </c>
      <c r="F2" t="s">
        <v>8</v>
      </c>
    </row>
    <row r="3" spans="1:6" x14ac:dyDescent="0.2">
      <c r="A3" t="s">
        <v>48</v>
      </c>
      <c r="B3" t="s">
        <v>189</v>
      </c>
      <c r="C3">
        <v>5595</v>
      </c>
      <c r="D3" s="1">
        <v>46160.792361111111</v>
      </c>
      <c r="E3" s="2">
        <v>1779123712423140</v>
      </c>
      <c r="F3" t="s">
        <v>15</v>
      </c>
    </row>
    <row r="4" spans="1:6" x14ac:dyDescent="0.2">
      <c r="A4" t="s">
        <v>203</v>
      </c>
      <c r="B4" t="s">
        <v>190</v>
      </c>
      <c r="C4">
        <v>7816</v>
      </c>
      <c r="D4" s="1">
        <v>46160.744444444441</v>
      </c>
      <c r="E4" s="2">
        <v>1.77911953441731E+16</v>
      </c>
      <c r="F4" t="s">
        <v>15</v>
      </c>
    </row>
    <row r="5" spans="1:6" x14ac:dyDescent="0.2">
      <c r="A5" t="s">
        <v>204</v>
      </c>
      <c r="B5" t="s">
        <v>191</v>
      </c>
      <c r="C5">
        <v>1976</v>
      </c>
      <c r="D5" s="1">
        <v>46160.739583333336</v>
      </c>
      <c r="E5" s="2">
        <v>1.77911914361474E+16</v>
      </c>
      <c r="F5" t="s">
        <v>15</v>
      </c>
    </row>
    <row r="6" spans="1:6" x14ac:dyDescent="0.2">
      <c r="A6" t="s">
        <v>205</v>
      </c>
      <c r="B6" t="s">
        <v>192</v>
      </c>
      <c r="C6">
        <v>2390</v>
      </c>
      <c r="D6" s="1">
        <v>46160.739583333336</v>
      </c>
      <c r="E6" s="2">
        <v>1.7791191435853E+16</v>
      </c>
      <c r="F6" t="s">
        <v>8</v>
      </c>
    </row>
    <row r="7" spans="1:6" x14ac:dyDescent="0.2">
      <c r="A7" t="s">
        <v>206</v>
      </c>
      <c r="B7" t="s">
        <v>193</v>
      </c>
      <c r="C7">
        <v>1976</v>
      </c>
      <c r="D7" s="1">
        <v>46160.69027777778</v>
      </c>
      <c r="E7" s="2">
        <v>1.7791148893631E+16</v>
      </c>
      <c r="F7" t="s">
        <v>15</v>
      </c>
    </row>
    <row r="8" spans="1:6" x14ac:dyDescent="0.2">
      <c r="A8" t="s">
        <v>207</v>
      </c>
      <c r="B8" t="s">
        <v>194</v>
      </c>
      <c r="C8">
        <v>7816</v>
      </c>
      <c r="D8" s="1">
        <v>46158.643750000003</v>
      </c>
      <c r="E8" s="2">
        <v>1.77893805040149E+16</v>
      </c>
      <c r="F8" t="s">
        <v>8</v>
      </c>
    </row>
    <row r="9" spans="1:6" x14ac:dyDescent="0.2">
      <c r="A9" t="s">
        <v>208</v>
      </c>
      <c r="B9" t="s">
        <v>195</v>
      </c>
      <c r="C9">
        <v>1976</v>
      </c>
      <c r="D9" s="1">
        <v>46158.530555555553</v>
      </c>
      <c r="E9" s="2">
        <v>1778928272898740</v>
      </c>
      <c r="F9" t="s">
        <v>15</v>
      </c>
    </row>
    <row r="10" spans="1:6" x14ac:dyDescent="0.2">
      <c r="A10" t="s">
        <v>209</v>
      </c>
      <c r="B10" t="s">
        <v>196</v>
      </c>
      <c r="C10">
        <v>1129</v>
      </c>
      <c r="D10" s="1">
        <v>46158.52847222222</v>
      </c>
      <c r="E10" s="2">
        <v>1778928110344770</v>
      </c>
      <c r="F10" t="s">
        <v>15</v>
      </c>
    </row>
    <row r="11" spans="1:6" x14ac:dyDescent="0.2">
      <c r="A11" t="s">
        <v>210</v>
      </c>
      <c r="B11" t="s">
        <v>197</v>
      </c>
      <c r="C11">
        <v>1965</v>
      </c>
      <c r="D11" s="1">
        <v>46157.72152777778</v>
      </c>
      <c r="E11" s="2">
        <v>1.7788583811526E+16</v>
      </c>
      <c r="F11" t="s">
        <v>15</v>
      </c>
    </row>
    <row r="12" spans="1:6" x14ac:dyDescent="0.2">
      <c r="A12" t="s">
        <v>211</v>
      </c>
      <c r="B12" t="s">
        <v>198</v>
      </c>
      <c r="C12">
        <v>42</v>
      </c>
      <c r="D12" s="1">
        <v>46156.582638888889</v>
      </c>
      <c r="E12" s="2">
        <v>1.77875998308195E+16</v>
      </c>
      <c r="F12" t="s">
        <v>8</v>
      </c>
    </row>
    <row r="13" spans="1:6" x14ac:dyDescent="0.2">
      <c r="A13" t="s">
        <v>26</v>
      </c>
      <c r="B13" t="s">
        <v>199</v>
      </c>
      <c r="C13">
        <v>1964</v>
      </c>
      <c r="D13" s="1">
        <v>46156.481249999997</v>
      </c>
      <c r="E13" s="2">
        <v>1.77875122360303E+16</v>
      </c>
      <c r="F13" t="s">
        <v>15</v>
      </c>
    </row>
    <row r="14" spans="1:6" x14ac:dyDescent="0.2">
      <c r="A14" t="s">
        <v>52</v>
      </c>
      <c r="B14" t="s">
        <v>200</v>
      </c>
      <c r="C14">
        <v>1962</v>
      </c>
      <c r="D14" s="1">
        <v>46155.684027777781</v>
      </c>
      <c r="E14" s="2">
        <v>1.77868232079693E+16</v>
      </c>
      <c r="F14" t="s">
        <v>15</v>
      </c>
    </row>
    <row r="15" spans="1:6" x14ac:dyDescent="0.2">
      <c r="A15" t="s">
        <v>212</v>
      </c>
      <c r="B15" t="s">
        <v>201</v>
      </c>
      <c r="C15">
        <v>347</v>
      </c>
      <c r="D15" s="1">
        <v>46152.597916666666</v>
      </c>
      <c r="E15" s="2">
        <v>1.77841569056733E+16</v>
      </c>
      <c r="F15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597C-8D8B-9E47-9A18-D053C182F1E4}">
  <dimension ref="A1:I47"/>
  <sheetViews>
    <sheetView workbookViewId="0"/>
    <sheetView tabSelected="1" topLeftCell="A17" workbookViewId="1">
      <selection activeCell="E28" sqref="E28:E41"/>
    </sheetView>
  </sheetViews>
  <sheetFormatPr baseColWidth="10" defaultRowHeight="16" x14ac:dyDescent="0.2"/>
  <cols>
    <col min="1" max="1" width="31.1640625" customWidth="1"/>
    <col min="2" max="2" width="34.33203125" customWidth="1"/>
    <col min="4" max="4" width="17.6640625" customWidth="1"/>
    <col min="5" max="5" width="12.1640625" customWidth="1"/>
    <col min="6" max="7" width="1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186</v>
      </c>
      <c r="G1" t="s">
        <v>187</v>
      </c>
      <c r="H1" t="s">
        <v>180</v>
      </c>
      <c r="I1" t="s">
        <v>174</v>
      </c>
    </row>
    <row r="2" spans="1:9" x14ac:dyDescent="0.2">
      <c r="A2" t="s">
        <v>50</v>
      </c>
      <c r="B2" t="s">
        <v>51</v>
      </c>
      <c r="C2">
        <v>9060</v>
      </c>
      <c r="D2" s="1">
        <v>46152.822916666664</v>
      </c>
      <c r="E2" t="s">
        <v>15</v>
      </c>
      <c r="G2" t="str">
        <f>IF(Table4[[#This Row],[mathing]]=1,Table4[[#This Row],[entries]],"")</f>
        <v/>
      </c>
      <c r="I2" t="s">
        <v>177</v>
      </c>
    </row>
    <row r="3" spans="1:9" x14ac:dyDescent="0.2">
      <c r="A3" t="s">
        <v>22</v>
      </c>
      <c r="B3" t="s">
        <v>23</v>
      </c>
      <c r="C3">
        <v>7817</v>
      </c>
      <c r="D3" s="1">
        <v>46156.550694444442</v>
      </c>
      <c r="E3" t="s">
        <v>8</v>
      </c>
      <c r="G3" t="str">
        <f>IF(Table4[[#This Row],[mathing]]=1,Table4[[#This Row],[entries]],"")</f>
        <v/>
      </c>
      <c r="I3" t="s">
        <v>176</v>
      </c>
    </row>
    <row r="4" spans="1:9" x14ac:dyDescent="0.2">
      <c r="A4" t="s">
        <v>48</v>
      </c>
      <c r="B4" t="s">
        <v>49</v>
      </c>
      <c r="C4">
        <v>5595</v>
      </c>
      <c r="D4" s="1">
        <v>46152.822916666664</v>
      </c>
      <c r="E4" t="s">
        <v>15</v>
      </c>
      <c r="F4">
        <v>1</v>
      </c>
      <c r="G4">
        <f>IF(Table4[[#This Row],[mathing]]=1,Table4[[#This Row],[entries]],"")</f>
        <v>5595</v>
      </c>
      <c r="I4" t="s">
        <v>179</v>
      </c>
    </row>
    <row r="5" spans="1:9" x14ac:dyDescent="0.2">
      <c r="A5" t="s">
        <v>68</v>
      </c>
      <c r="B5" t="s">
        <v>69</v>
      </c>
      <c r="C5">
        <v>3465</v>
      </c>
      <c r="D5" s="1">
        <v>46152.822916666664</v>
      </c>
      <c r="E5" t="s">
        <v>15</v>
      </c>
      <c r="F5">
        <v>1</v>
      </c>
      <c r="G5">
        <f>IF(Table4[[#This Row],[mathing]]=1,Table4[[#This Row],[entries]],"")</f>
        <v>3465</v>
      </c>
      <c r="H5" t="s">
        <v>182</v>
      </c>
    </row>
    <row r="6" spans="1:9" x14ac:dyDescent="0.2">
      <c r="A6" t="s">
        <v>82</v>
      </c>
      <c r="B6" t="s">
        <v>83</v>
      </c>
      <c r="C6">
        <v>2397</v>
      </c>
      <c r="D6" s="1">
        <v>46152.822916666664</v>
      </c>
      <c r="E6" t="s">
        <v>8</v>
      </c>
      <c r="G6" t="str">
        <f>IF(Table4[[#This Row],[mathing]]=1,Table4[[#This Row],[entries]],"")</f>
        <v/>
      </c>
      <c r="H6" t="s">
        <v>183</v>
      </c>
    </row>
    <row r="7" spans="1:9" x14ac:dyDescent="0.2">
      <c r="A7" t="s">
        <v>26</v>
      </c>
      <c r="B7" t="s">
        <v>27</v>
      </c>
      <c r="C7">
        <v>1962</v>
      </c>
      <c r="D7" s="1">
        <v>46155.684027777781</v>
      </c>
      <c r="E7" t="s">
        <v>15</v>
      </c>
      <c r="G7" t="str">
        <f>IF(Table4[[#This Row],[mathing]]=1,Table4[[#This Row],[entries]],"")</f>
        <v/>
      </c>
    </row>
    <row r="8" spans="1:9" x14ac:dyDescent="0.2">
      <c r="A8" t="s">
        <v>28</v>
      </c>
      <c r="B8" t="s">
        <v>29</v>
      </c>
      <c r="C8">
        <v>1922</v>
      </c>
      <c r="D8" s="1">
        <v>46155.64166666667</v>
      </c>
      <c r="E8" t="s">
        <v>15</v>
      </c>
      <c r="G8" t="str">
        <f>IF(Table4[[#This Row],[mathing]]=1,Table4[[#This Row],[entries]],"")</f>
        <v/>
      </c>
    </row>
    <row r="9" spans="1:9" x14ac:dyDescent="0.2">
      <c r="A9" t="s">
        <v>52</v>
      </c>
      <c r="B9" t="s">
        <v>53</v>
      </c>
      <c r="C9">
        <v>1908</v>
      </c>
      <c r="D9" s="1">
        <v>46152.822916666664</v>
      </c>
      <c r="E9" t="s">
        <v>15</v>
      </c>
      <c r="G9" t="str">
        <f>IF(Table4[[#This Row],[mathing]]=1,Table4[[#This Row],[entries]],"")</f>
        <v/>
      </c>
      <c r="H9" t="s">
        <v>183</v>
      </c>
    </row>
    <row r="10" spans="1:9" x14ac:dyDescent="0.2">
      <c r="A10" t="s">
        <v>9</v>
      </c>
      <c r="B10" t="s">
        <v>42</v>
      </c>
      <c r="C10">
        <v>1860</v>
      </c>
      <c r="D10" s="1">
        <v>46152.822916666664</v>
      </c>
      <c r="E10" t="s">
        <v>8</v>
      </c>
      <c r="G10" t="str">
        <f>IF(Table4[[#This Row],[mathing]]=1,Table4[[#This Row],[entries]],"")</f>
        <v/>
      </c>
    </row>
    <row r="11" spans="1:9" x14ac:dyDescent="0.2">
      <c r="A11" t="s">
        <v>9</v>
      </c>
      <c r="B11" t="s">
        <v>10</v>
      </c>
      <c r="C11">
        <v>1859</v>
      </c>
      <c r="D11" s="1">
        <v>46157.652083333334</v>
      </c>
      <c r="E11" t="s">
        <v>8</v>
      </c>
      <c r="G11" t="str">
        <f>IF(Table4[[#This Row],[mathing]]=1,Table4[[#This Row],[entries]],"")</f>
        <v/>
      </c>
    </row>
    <row r="12" spans="1:9" x14ac:dyDescent="0.2">
      <c r="A12" t="s">
        <v>80</v>
      </c>
      <c r="B12" t="s">
        <v>81</v>
      </c>
      <c r="C12">
        <v>1856</v>
      </c>
      <c r="D12" s="1">
        <v>46152.822916666664</v>
      </c>
      <c r="E12" t="s">
        <v>15</v>
      </c>
      <c r="G12" t="str">
        <f>IF(Table4[[#This Row],[mathing]]=1,Table4[[#This Row],[entries]],"")</f>
        <v/>
      </c>
      <c r="H12" t="s">
        <v>183</v>
      </c>
    </row>
    <row r="13" spans="1:9" x14ac:dyDescent="0.2">
      <c r="A13" t="s">
        <v>64</v>
      </c>
      <c r="B13" t="s">
        <v>65</v>
      </c>
      <c r="C13">
        <v>1609</v>
      </c>
      <c r="D13" s="1">
        <v>46152.822916666664</v>
      </c>
      <c r="E13" t="s">
        <v>15</v>
      </c>
      <c r="G13" t="str">
        <f>IF(Table4[[#This Row],[mathing]]=1,Table4[[#This Row],[entries]],"")</f>
        <v/>
      </c>
      <c r="H13" t="s">
        <v>183</v>
      </c>
    </row>
    <row r="14" spans="1:9" x14ac:dyDescent="0.2">
      <c r="A14" t="s">
        <v>54</v>
      </c>
      <c r="B14" t="s">
        <v>55</v>
      </c>
      <c r="C14">
        <v>1605</v>
      </c>
      <c r="D14" s="1">
        <v>46152.822916666664</v>
      </c>
      <c r="E14" t="s">
        <v>15</v>
      </c>
      <c r="G14" t="str">
        <f>IF(Table4[[#This Row],[mathing]]=1,Table4[[#This Row],[entries]],"")</f>
        <v/>
      </c>
      <c r="H14" t="s">
        <v>183</v>
      </c>
    </row>
    <row r="15" spans="1:9" x14ac:dyDescent="0.2">
      <c r="A15" t="s">
        <v>40</v>
      </c>
      <c r="B15" t="s">
        <v>41</v>
      </c>
      <c r="C15">
        <v>1587</v>
      </c>
      <c r="D15" s="1">
        <v>46152.822916666664</v>
      </c>
      <c r="E15" t="s">
        <v>15</v>
      </c>
      <c r="G15" t="str">
        <f>IF(Table4[[#This Row],[mathing]]=1,Table4[[#This Row],[entries]],"")</f>
        <v/>
      </c>
      <c r="H15" t="s">
        <v>183</v>
      </c>
    </row>
    <row r="16" spans="1:9" x14ac:dyDescent="0.2">
      <c r="A16" t="s">
        <v>43</v>
      </c>
      <c r="B16" t="s">
        <v>119</v>
      </c>
      <c r="C16">
        <v>1575</v>
      </c>
      <c r="D16" s="1">
        <v>46144.56527777778</v>
      </c>
      <c r="E16" t="s">
        <v>15</v>
      </c>
      <c r="G16" t="str">
        <f>IF(Table4[[#This Row],[mathing]]=1,Table4[[#This Row],[entries]],"")</f>
        <v/>
      </c>
      <c r="H16" t="s">
        <v>181</v>
      </c>
    </row>
    <row r="17" spans="1:9" x14ac:dyDescent="0.2">
      <c r="A17" t="s">
        <v>56</v>
      </c>
      <c r="B17" t="s">
        <v>57</v>
      </c>
      <c r="C17">
        <v>1523</v>
      </c>
      <c r="D17" s="1">
        <v>46152.822916666664</v>
      </c>
      <c r="E17" t="s">
        <v>15</v>
      </c>
      <c r="G17" t="str">
        <f>IF(Table4[[#This Row],[mathing]]=1,Table4[[#This Row],[entries]],"")</f>
        <v/>
      </c>
      <c r="H17" t="s">
        <v>183</v>
      </c>
    </row>
    <row r="18" spans="1:9" x14ac:dyDescent="0.2">
      <c r="A18" t="s">
        <v>96</v>
      </c>
      <c r="B18" t="s">
        <v>97</v>
      </c>
      <c r="C18">
        <v>1239</v>
      </c>
      <c r="D18" s="1">
        <v>46152.815972222219</v>
      </c>
      <c r="E18" t="s">
        <v>15</v>
      </c>
      <c r="G18" t="str">
        <f>IF(Table4[[#This Row],[mathing]]=1,Table4[[#This Row],[entries]],"")</f>
        <v/>
      </c>
      <c r="H18" t="s">
        <v>183</v>
      </c>
    </row>
    <row r="19" spans="1:9" x14ac:dyDescent="0.2">
      <c r="A19" t="s">
        <v>70</v>
      </c>
      <c r="B19" t="s">
        <v>71</v>
      </c>
      <c r="C19">
        <v>1232</v>
      </c>
      <c r="D19" s="1">
        <v>46152.822916666664</v>
      </c>
      <c r="E19" t="s">
        <v>15</v>
      </c>
      <c r="G19" t="str">
        <f>IF(Table4[[#This Row],[mathing]]=1,Table4[[#This Row],[entries]],"")</f>
        <v/>
      </c>
      <c r="H19" t="s">
        <v>182</v>
      </c>
    </row>
    <row r="20" spans="1:9" x14ac:dyDescent="0.2">
      <c r="A20" t="s">
        <v>32</v>
      </c>
      <c r="B20" t="s">
        <v>33</v>
      </c>
      <c r="C20">
        <v>1224</v>
      </c>
      <c r="D20" s="1">
        <v>46155.640972222223</v>
      </c>
      <c r="E20" t="s">
        <v>15</v>
      </c>
      <c r="G20" t="str">
        <f>IF(Table4[[#This Row],[mathing]]=1,Table4[[#This Row],[entries]],"")</f>
        <v/>
      </c>
      <c r="H20" t="s">
        <v>183</v>
      </c>
    </row>
    <row r="21" spans="1:9" x14ac:dyDescent="0.2">
      <c r="A21" t="s">
        <v>20</v>
      </c>
      <c r="B21" t="s">
        <v>21</v>
      </c>
      <c r="C21">
        <v>1222</v>
      </c>
      <c r="D21" s="1">
        <v>46156.554861111108</v>
      </c>
      <c r="E21" t="s">
        <v>8</v>
      </c>
      <c r="G21" t="str">
        <f>IF(Table4[[#This Row],[mathing]]=1,Table4[[#This Row],[entries]],"")</f>
        <v/>
      </c>
      <c r="H21" t="s">
        <v>182</v>
      </c>
    </row>
    <row r="22" spans="1:9" x14ac:dyDescent="0.2">
      <c r="A22" t="s">
        <v>11</v>
      </c>
      <c r="B22" t="s">
        <v>12</v>
      </c>
      <c r="C22">
        <v>1180</v>
      </c>
      <c r="D22" s="1">
        <v>46157.64166666667</v>
      </c>
      <c r="E22" t="s">
        <v>8</v>
      </c>
      <c r="G22" t="str">
        <f>IF(Table4[[#This Row],[mathing]]=1,Table4[[#This Row],[entries]],"")</f>
        <v/>
      </c>
      <c r="H22" t="s">
        <v>182</v>
      </c>
    </row>
    <row r="23" spans="1:9" x14ac:dyDescent="0.2">
      <c r="A23" t="s">
        <v>6</v>
      </c>
      <c r="B23" t="s">
        <v>7</v>
      </c>
      <c r="C23">
        <v>1169</v>
      </c>
      <c r="D23" s="1">
        <v>46157.675694444442</v>
      </c>
      <c r="E23" t="s">
        <v>8</v>
      </c>
      <c r="G23" t="str">
        <f>IF(Table4[[#This Row],[mathing]]=1,Table4[[#This Row],[entries]],"")</f>
        <v/>
      </c>
      <c r="H23" t="s">
        <v>183</v>
      </c>
      <c r="I23" t="s">
        <v>185</v>
      </c>
    </row>
    <row r="24" spans="1:9" x14ac:dyDescent="0.2">
      <c r="A24" t="s">
        <v>84</v>
      </c>
      <c r="B24" t="s">
        <v>85</v>
      </c>
      <c r="C24">
        <v>324</v>
      </c>
      <c r="D24" s="1">
        <v>46152.822916666664</v>
      </c>
      <c r="E24" t="s">
        <v>15</v>
      </c>
      <c r="G24" t="str">
        <f>IF(Table4[[#This Row],[mathing]]=1,Table4[[#This Row],[entries]],"")</f>
        <v/>
      </c>
      <c r="H24" t="s">
        <v>183</v>
      </c>
    </row>
    <row r="25" spans="1:9" x14ac:dyDescent="0.2">
      <c r="A25" t="s">
        <v>13</v>
      </c>
      <c r="B25" t="s">
        <v>14</v>
      </c>
      <c r="C25">
        <v>107</v>
      </c>
      <c r="D25" s="1">
        <v>46157.631249999999</v>
      </c>
      <c r="E25" t="s">
        <v>15</v>
      </c>
      <c r="G25" t="str">
        <f>IF(Table4[[#This Row],[mathing]]=1,Table4[[#This Row],[entries]],"")</f>
        <v/>
      </c>
      <c r="H25" t="s">
        <v>182</v>
      </c>
    </row>
    <row r="26" spans="1:9" x14ac:dyDescent="0.2">
      <c r="A26" t="s">
        <v>72</v>
      </c>
      <c r="B26" t="s">
        <v>73</v>
      </c>
      <c r="C26">
        <v>63</v>
      </c>
      <c r="D26" s="1">
        <v>46152.822916666664</v>
      </c>
      <c r="E26" t="s">
        <v>15</v>
      </c>
      <c r="G26" t="str">
        <f>IF(Table4[[#This Row],[mathing]]=1,Table4[[#This Row],[entries]],"")</f>
        <v/>
      </c>
      <c r="H26" t="s">
        <v>182</v>
      </c>
    </row>
    <row r="27" spans="1:9" x14ac:dyDescent="0.2">
      <c r="A27" t="s">
        <v>60</v>
      </c>
      <c r="B27" t="s">
        <v>61</v>
      </c>
      <c r="C27">
        <v>37</v>
      </c>
      <c r="D27" s="1">
        <v>46152.822916666664</v>
      </c>
      <c r="E27" t="s">
        <v>15</v>
      </c>
      <c r="G27" t="str">
        <f>IF(Table4[[#This Row],[mathing]]=1,Table4[[#This Row],[entries]],"")</f>
        <v/>
      </c>
      <c r="H27" t="s">
        <v>183</v>
      </c>
    </row>
    <row r="28" spans="1:9" x14ac:dyDescent="0.2">
      <c r="A28" t="s">
        <v>202</v>
      </c>
      <c r="B28" t="s">
        <v>188</v>
      </c>
      <c r="C28">
        <v>7817</v>
      </c>
      <c r="D28" s="1">
        <v>46161.476388888892</v>
      </c>
      <c r="E28" t="s">
        <v>8</v>
      </c>
      <c r="G28" t="str">
        <f>IF(Table4[[#This Row],[mathing]]=1,Table4[[#This Row],[entries]],"")</f>
        <v/>
      </c>
    </row>
    <row r="29" spans="1:9" x14ac:dyDescent="0.2">
      <c r="A29" t="s">
        <v>48</v>
      </c>
      <c r="B29" t="s">
        <v>189</v>
      </c>
      <c r="C29">
        <v>5595</v>
      </c>
      <c r="D29" s="1">
        <v>46160.792361111111</v>
      </c>
      <c r="E29" t="s">
        <v>15</v>
      </c>
      <c r="F29" s="5"/>
      <c r="G29" s="6" t="str">
        <f>IF(Table4[[#This Row],[mathing]]=1,Table4[[#This Row],[entries]],"")</f>
        <v/>
      </c>
      <c r="H29" s="5"/>
      <c r="I29" s="5"/>
    </row>
    <row r="30" spans="1:9" x14ac:dyDescent="0.2">
      <c r="A30" t="s">
        <v>203</v>
      </c>
      <c r="B30" t="s">
        <v>190</v>
      </c>
      <c r="C30">
        <v>7816</v>
      </c>
      <c r="D30" s="1">
        <v>46160.744444444441</v>
      </c>
      <c r="E30" t="s">
        <v>15</v>
      </c>
      <c r="F30" s="5"/>
      <c r="G30" s="6" t="str">
        <f>IF(Table4[[#This Row],[mathing]]=1,Table4[[#This Row],[entries]],"")</f>
        <v/>
      </c>
      <c r="H30" s="5"/>
      <c r="I30" s="5"/>
    </row>
    <row r="31" spans="1:9" x14ac:dyDescent="0.2">
      <c r="A31" t="s">
        <v>204</v>
      </c>
      <c r="B31" t="s">
        <v>191</v>
      </c>
      <c r="C31">
        <v>1976</v>
      </c>
      <c r="D31" s="1">
        <v>46160.739583333336</v>
      </c>
      <c r="E31" t="s">
        <v>15</v>
      </c>
      <c r="F31" s="5"/>
      <c r="G31" s="6" t="str">
        <f>IF(Table4[[#This Row],[mathing]]=1,Table4[[#This Row],[entries]],"")</f>
        <v/>
      </c>
      <c r="H31" s="5"/>
      <c r="I31" s="5"/>
    </row>
    <row r="32" spans="1:9" x14ac:dyDescent="0.2">
      <c r="A32" t="s">
        <v>205</v>
      </c>
      <c r="B32" t="s">
        <v>192</v>
      </c>
      <c r="C32">
        <v>2390</v>
      </c>
      <c r="D32" s="1">
        <v>46160.739583333336</v>
      </c>
      <c r="E32" t="s">
        <v>8</v>
      </c>
      <c r="F32" s="5"/>
      <c r="G32" s="6" t="str">
        <f>IF(Table4[[#This Row],[mathing]]=1,Table4[[#This Row],[entries]],"")</f>
        <v/>
      </c>
      <c r="H32" s="5"/>
      <c r="I32" s="5"/>
    </row>
    <row r="33" spans="1:9" x14ac:dyDescent="0.2">
      <c r="A33" t="s">
        <v>206</v>
      </c>
      <c r="B33" t="s">
        <v>193</v>
      </c>
      <c r="C33">
        <v>1976</v>
      </c>
      <c r="D33" s="1">
        <v>46160.69027777778</v>
      </c>
      <c r="E33" t="s">
        <v>15</v>
      </c>
      <c r="F33" s="5"/>
      <c r="G33" s="6" t="str">
        <f>IF(Table4[[#This Row],[mathing]]=1,Table4[[#This Row],[entries]],"")</f>
        <v/>
      </c>
      <c r="H33" s="5"/>
      <c r="I33" s="5"/>
    </row>
    <row r="34" spans="1:9" x14ac:dyDescent="0.2">
      <c r="A34" t="s">
        <v>207</v>
      </c>
      <c r="B34" t="s">
        <v>194</v>
      </c>
      <c r="C34">
        <v>7816</v>
      </c>
      <c r="D34" s="1">
        <v>46158.643750000003</v>
      </c>
      <c r="E34" t="s">
        <v>8</v>
      </c>
      <c r="F34" s="5"/>
      <c r="G34" s="6" t="str">
        <f>IF(Table4[[#This Row],[mathing]]=1,Table4[[#This Row],[entries]],"")</f>
        <v/>
      </c>
      <c r="H34" s="5"/>
      <c r="I34" s="5"/>
    </row>
    <row r="35" spans="1:9" x14ac:dyDescent="0.2">
      <c r="A35" t="s">
        <v>208</v>
      </c>
      <c r="B35" t="s">
        <v>195</v>
      </c>
      <c r="C35">
        <v>1976</v>
      </c>
      <c r="D35" s="1">
        <v>46158.530555555553</v>
      </c>
      <c r="E35" t="s">
        <v>15</v>
      </c>
      <c r="F35" s="5"/>
      <c r="G35" s="6" t="str">
        <f>IF(Table4[[#This Row],[mathing]]=1,Table4[[#This Row],[entries]],"")</f>
        <v/>
      </c>
      <c r="H35" s="5"/>
      <c r="I35" s="5"/>
    </row>
    <row r="36" spans="1:9" x14ac:dyDescent="0.2">
      <c r="A36" t="s">
        <v>209</v>
      </c>
      <c r="B36" t="s">
        <v>196</v>
      </c>
      <c r="C36">
        <v>1129</v>
      </c>
      <c r="D36" s="1">
        <v>46158.52847222222</v>
      </c>
      <c r="E36" t="s">
        <v>15</v>
      </c>
      <c r="F36" s="5"/>
      <c r="G36" s="6" t="str">
        <f>IF(Table4[[#This Row],[mathing]]=1,Table4[[#This Row],[entries]],"")</f>
        <v/>
      </c>
      <c r="H36" s="5"/>
      <c r="I36" s="5"/>
    </row>
    <row r="37" spans="1:9" x14ac:dyDescent="0.2">
      <c r="A37" t="s">
        <v>210</v>
      </c>
      <c r="B37" t="s">
        <v>197</v>
      </c>
      <c r="C37">
        <v>1965</v>
      </c>
      <c r="D37" s="1">
        <v>46157.72152777778</v>
      </c>
      <c r="E37" t="s">
        <v>15</v>
      </c>
      <c r="F37" s="5"/>
      <c r="G37" s="6" t="str">
        <f>IF(Table4[[#This Row],[mathing]]=1,Table4[[#This Row],[entries]],"")</f>
        <v/>
      </c>
      <c r="H37" s="5"/>
      <c r="I37" s="5"/>
    </row>
    <row r="38" spans="1:9" x14ac:dyDescent="0.2">
      <c r="A38" t="s">
        <v>211</v>
      </c>
      <c r="B38" t="s">
        <v>198</v>
      </c>
      <c r="C38">
        <v>42</v>
      </c>
      <c r="D38" s="1">
        <v>46156.582638888889</v>
      </c>
      <c r="E38" t="s">
        <v>8</v>
      </c>
      <c r="F38" s="5"/>
      <c r="G38" s="6" t="str">
        <f>IF(Table4[[#This Row],[mathing]]=1,Table4[[#This Row],[entries]],"")</f>
        <v/>
      </c>
      <c r="H38" s="5"/>
      <c r="I38" s="5"/>
    </row>
    <row r="39" spans="1:9" x14ac:dyDescent="0.2">
      <c r="A39" t="s">
        <v>26</v>
      </c>
      <c r="B39" t="s">
        <v>199</v>
      </c>
      <c r="C39">
        <v>1964</v>
      </c>
      <c r="D39" s="1">
        <v>46156.481249999997</v>
      </c>
      <c r="E39" t="s">
        <v>15</v>
      </c>
      <c r="F39" s="5"/>
      <c r="G39" s="6" t="str">
        <f>IF(Table4[[#This Row],[mathing]]=1,Table4[[#This Row],[entries]],"")</f>
        <v/>
      </c>
      <c r="H39" s="5"/>
      <c r="I39" s="5"/>
    </row>
    <row r="40" spans="1:9" x14ac:dyDescent="0.2">
      <c r="A40" t="s">
        <v>52</v>
      </c>
      <c r="B40" t="s">
        <v>200</v>
      </c>
      <c r="C40">
        <v>1962</v>
      </c>
      <c r="D40" s="1">
        <v>46155.684027777781</v>
      </c>
      <c r="E40" t="s">
        <v>15</v>
      </c>
      <c r="F40" s="5"/>
      <c r="G40" s="6" t="str">
        <f>IF(Table4[[#This Row],[mathing]]=1,Table4[[#This Row],[entries]],"")</f>
        <v/>
      </c>
      <c r="H40" s="5"/>
      <c r="I40" s="5"/>
    </row>
    <row r="41" spans="1:9" x14ac:dyDescent="0.2">
      <c r="A41" t="s">
        <v>212</v>
      </c>
      <c r="B41" t="s">
        <v>201</v>
      </c>
      <c r="C41">
        <v>347</v>
      </c>
      <c r="D41" s="1">
        <v>46152.597916666666</v>
      </c>
      <c r="E41" t="s">
        <v>15</v>
      </c>
      <c r="F41" s="5"/>
      <c r="G41" s="6" t="str">
        <f>IF(Table4[[#This Row],[mathing]]=1,Table4[[#This Row],[entries]],"")</f>
        <v/>
      </c>
      <c r="H41" s="5"/>
      <c r="I41" s="5"/>
    </row>
    <row r="42" spans="1:9" x14ac:dyDescent="0.2">
      <c r="A42" s="5"/>
      <c r="B42" s="5"/>
      <c r="C42" s="5"/>
      <c r="D42" s="7"/>
      <c r="E42" s="5"/>
      <c r="F42" s="5"/>
      <c r="G42" s="6" t="str">
        <f>IF(Table4[[#This Row],[mathing]]=1,Table4[[#This Row],[entries]],"")</f>
        <v/>
      </c>
      <c r="H42" s="5"/>
      <c r="I42" s="5"/>
    </row>
    <row r="43" spans="1:9" x14ac:dyDescent="0.2">
      <c r="A43" s="5"/>
      <c r="B43" s="5"/>
      <c r="C43" s="5"/>
      <c r="D43" s="7"/>
      <c r="E43" s="5"/>
      <c r="F43" s="5"/>
      <c r="G43" s="6" t="str">
        <f>IF(Table4[[#This Row],[mathing]]=1,Table4[[#This Row],[entries]],"")</f>
        <v/>
      </c>
      <c r="H43" s="5"/>
      <c r="I43" s="5"/>
    </row>
    <row r="44" spans="1:9" x14ac:dyDescent="0.2">
      <c r="A44" s="5"/>
      <c r="B44" s="5"/>
      <c r="C44" s="5"/>
      <c r="D44" s="7"/>
      <c r="E44" s="5"/>
      <c r="F44" s="5"/>
      <c r="G44" s="6" t="str">
        <f>IF(Table4[[#This Row],[mathing]]=1,Table4[[#This Row],[entries]],"")</f>
        <v/>
      </c>
      <c r="H44" s="5"/>
      <c r="I44" s="5"/>
    </row>
    <row r="45" spans="1:9" x14ac:dyDescent="0.2">
      <c r="A45" s="5"/>
      <c r="B45" s="5"/>
      <c r="C45" s="5"/>
      <c r="D45" s="7"/>
      <c r="E45" s="5"/>
      <c r="F45" s="5"/>
      <c r="G45" s="6" t="str">
        <f>IF(Table4[[#This Row],[mathing]]=1,Table4[[#This Row],[entries]],"")</f>
        <v/>
      </c>
      <c r="H45" s="5"/>
      <c r="I45" s="5"/>
    </row>
    <row r="46" spans="1:9" x14ac:dyDescent="0.2">
      <c r="A46" s="5"/>
      <c r="B46" s="5"/>
      <c r="C46" s="5"/>
      <c r="D46" s="7"/>
      <c r="E46" s="5"/>
      <c r="F46" s="5"/>
      <c r="G46" s="6" t="str">
        <f>IF(Table4[[#This Row],[mathing]]=1,Table4[[#This Row],[entries]],"")</f>
        <v/>
      </c>
      <c r="H46" s="5"/>
      <c r="I46" s="5"/>
    </row>
    <row r="47" spans="1:9" x14ac:dyDescent="0.2">
      <c r="A47" s="4" t="s">
        <v>173</v>
      </c>
      <c r="B47" s="4"/>
      <c r="C47" s="4"/>
      <c r="D47" s="4"/>
      <c r="E47" s="4"/>
      <c r="F47" s="4"/>
      <c r="G47" s="4">
        <f>SUM(Table4[real math])</f>
        <v>9060</v>
      </c>
      <c r="H47" s="4"/>
      <c r="I47" s="4">
        <f>SUBTOTAL(103,Table4[notes])</f>
        <v>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E99F-47E6-1E4C-BEBD-E722678B77D8}">
  <dimension ref="A1:B48"/>
  <sheetViews>
    <sheetView workbookViewId="0"/>
    <sheetView topLeftCell="A21" workbookViewId="1">
      <selection sqref="A1:B47"/>
    </sheetView>
  </sheetViews>
  <sheetFormatPr baseColWidth="10" defaultRowHeight="16" x14ac:dyDescent="0.2"/>
  <cols>
    <col min="2" max="2" width="12.83203125" customWidth="1"/>
  </cols>
  <sheetData>
    <row r="1" spans="1:2" x14ac:dyDescent="0.2">
      <c r="A1" t="s">
        <v>125</v>
      </c>
      <c r="B1" t="s">
        <v>126</v>
      </c>
    </row>
    <row r="2" spans="1:2" x14ac:dyDescent="0.2">
      <c r="A2" t="s">
        <v>127</v>
      </c>
      <c r="B2">
        <v>31</v>
      </c>
    </row>
    <row r="3" spans="1:2" x14ac:dyDescent="0.2">
      <c r="A3" t="s">
        <v>128</v>
      </c>
      <c r="B3">
        <v>451</v>
      </c>
    </row>
    <row r="4" spans="1:2" x14ac:dyDescent="0.2">
      <c r="A4" t="s">
        <v>129</v>
      </c>
      <c r="B4">
        <v>199</v>
      </c>
    </row>
    <row r="5" spans="1:2" x14ac:dyDescent="0.2">
      <c r="A5" t="s">
        <v>130</v>
      </c>
      <c r="B5">
        <v>128</v>
      </c>
    </row>
    <row r="6" spans="1:2" x14ac:dyDescent="0.2">
      <c r="A6" t="s">
        <v>131</v>
      </c>
      <c r="B6">
        <v>208</v>
      </c>
    </row>
    <row r="7" spans="1:2" x14ac:dyDescent="0.2">
      <c r="A7" t="s">
        <v>132</v>
      </c>
      <c r="B7">
        <v>84</v>
      </c>
    </row>
    <row r="8" spans="1:2" x14ac:dyDescent="0.2">
      <c r="A8" t="s">
        <v>133</v>
      </c>
      <c r="B8">
        <v>59</v>
      </c>
    </row>
    <row r="9" spans="1:2" x14ac:dyDescent="0.2">
      <c r="A9" t="s">
        <v>134</v>
      </c>
      <c r="B9">
        <v>1880</v>
      </c>
    </row>
    <row r="10" spans="1:2" x14ac:dyDescent="0.2">
      <c r="A10" t="s">
        <v>135</v>
      </c>
      <c r="B10">
        <v>94</v>
      </c>
    </row>
    <row r="11" spans="1:2" x14ac:dyDescent="0.2">
      <c r="A11" t="s">
        <v>136</v>
      </c>
      <c r="B11">
        <v>57</v>
      </c>
    </row>
    <row r="12" spans="1:2" x14ac:dyDescent="0.2">
      <c r="A12" t="s">
        <v>137</v>
      </c>
      <c r="B12">
        <v>96</v>
      </c>
    </row>
    <row r="13" spans="1:2" x14ac:dyDescent="0.2">
      <c r="A13" t="s">
        <v>138</v>
      </c>
      <c r="B13">
        <v>821</v>
      </c>
    </row>
    <row r="14" spans="1:2" x14ac:dyDescent="0.2">
      <c r="A14" t="s">
        <v>139</v>
      </c>
      <c r="B14">
        <v>172</v>
      </c>
    </row>
    <row r="15" spans="1:2" x14ac:dyDescent="0.2">
      <c r="A15" t="s">
        <v>140</v>
      </c>
      <c r="B15">
        <v>216</v>
      </c>
    </row>
    <row r="16" spans="1:2" x14ac:dyDescent="0.2">
      <c r="A16" t="s">
        <v>141</v>
      </c>
      <c r="B16">
        <v>52</v>
      </c>
    </row>
    <row r="17" spans="1:2" x14ac:dyDescent="0.2">
      <c r="A17" t="s">
        <v>142</v>
      </c>
      <c r="B17">
        <v>645</v>
      </c>
    </row>
    <row r="18" spans="1:2" x14ac:dyDescent="0.2">
      <c r="A18" t="s">
        <v>143</v>
      </c>
      <c r="B18">
        <v>20</v>
      </c>
    </row>
    <row r="19" spans="1:2" x14ac:dyDescent="0.2">
      <c r="A19" t="s">
        <v>144</v>
      </c>
      <c r="B19">
        <v>75</v>
      </c>
    </row>
    <row r="20" spans="1:2" x14ac:dyDescent="0.2">
      <c r="A20" t="s">
        <v>145</v>
      </c>
      <c r="B20">
        <v>34</v>
      </c>
    </row>
    <row r="21" spans="1:2" x14ac:dyDescent="0.2">
      <c r="A21" t="s">
        <v>146</v>
      </c>
      <c r="B21">
        <v>227</v>
      </c>
    </row>
    <row r="22" spans="1:2" x14ac:dyDescent="0.2">
      <c r="A22" t="s">
        <v>147</v>
      </c>
      <c r="B22">
        <v>32</v>
      </c>
    </row>
    <row r="23" spans="1:2" x14ac:dyDescent="0.2">
      <c r="A23" t="s">
        <v>148</v>
      </c>
      <c r="B23">
        <v>194</v>
      </c>
    </row>
    <row r="24" spans="1:2" x14ac:dyDescent="0.2">
      <c r="A24" t="s">
        <v>149</v>
      </c>
      <c r="B24">
        <v>85</v>
      </c>
    </row>
    <row r="25" spans="1:2" x14ac:dyDescent="0.2">
      <c r="A25" t="s">
        <v>150</v>
      </c>
      <c r="B25">
        <v>150</v>
      </c>
    </row>
    <row r="26" spans="1:2" x14ac:dyDescent="0.2">
      <c r="A26" t="s">
        <v>151</v>
      </c>
      <c r="B26">
        <v>393</v>
      </c>
    </row>
    <row r="27" spans="1:2" x14ac:dyDescent="0.2">
      <c r="A27" t="s">
        <v>152</v>
      </c>
      <c r="B27">
        <v>71</v>
      </c>
    </row>
    <row r="28" spans="1:2" x14ac:dyDescent="0.2">
      <c r="A28" t="s">
        <v>153</v>
      </c>
      <c r="B28">
        <v>242</v>
      </c>
    </row>
    <row r="29" spans="1:2" x14ac:dyDescent="0.2">
      <c r="A29" t="s">
        <v>154</v>
      </c>
      <c r="B29">
        <v>97</v>
      </c>
    </row>
    <row r="30" spans="1:2" x14ac:dyDescent="0.2">
      <c r="A30" t="s">
        <v>155</v>
      </c>
      <c r="B30">
        <v>76</v>
      </c>
    </row>
    <row r="31" spans="1:2" x14ac:dyDescent="0.2">
      <c r="A31" t="s">
        <v>156</v>
      </c>
      <c r="B31">
        <v>10</v>
      </c>
    </row>
    <row r="32" spans="1:2" x14ac:dyDescent="0.2">
      <c r="A32" t="s">
        <v>157</v>
      </c>
      <c r="B32">
        <v>78</v>
      </c>
    </row>
    <row r="33" spans="1:2" x14ac:dyDescent="0.2">
      <c r="A33" t="s">
        <v>158</v>
      </c>
      <c r="B33">
        <v>477</v>
      </c>
    </row>
    <row r="34" spans="1:2" x14ac:dyDescent="0.2">
      <c r="A34" t="s">
        <v>159</v>
      </c>
      <c r="B34">
        <v>246</v>
      </c>
    </row>
    <row r="35" spans="1:2" x14ac:dyDescent="0.2">
      <c r="A35" t="s">
        <v>160</v>
      </c>
      <c r="B35">
        <v>55</v>
      </c>
    </row>
    <row r="36" spans="1:2" x14ac:dyDescent="0.2">
      <c r="A36" t="s">
        <v>161</v>
      </c>
      <c r="B36">
        <v>537</v>
      </c>
    </row>
    <row r="37" spans="1:2" x14ac:dyDescent="0.2">
      <c r="A37" t="s">
        <v>162</v>
      </c>
      <c r="B37">
        <v>95</v>
      </c>
    </row>
    <row r="38" spans="1:2" x14ac:dyDescent="0.2">
      <c r="A38" t="s">
        <v>163</v>
      </c>
      <c r="B38">
        <v>64</v>
      </c>
    </row>
    <row r="39" spans="1:2" x14ac:dyDescent="0.2">
      <c r="A39" t="s">
        <v>164</v>
      </c>
      <c r="B39">
        <v>72</v>
      </c>
    </row>
    <row r="40" spans="1:2" x14ac:dyDescent="0.2">
      <c r="A40" t="s">
        <v>165</v>
      </c>
      <c r="B40">
        <v>308</v>
      </c>
    </row>
    <row r="41" spans="1:2" x14ac:dyDescent="0.2">
      <c r="A41" t="s">
        <v>166</v>
      </c>
      <c r="B41">
        <v>277</v>
      </c>
    </row>
    <row r="42" spans="1:2" x14ac:dyDescent="0.2">
      <c r="A42" t="s">
        <v>167</v>
      </c>
      <c r="B42">
        <v>358</v>
      </c>
    </row>
    <row r="43" spans="1:2" x14ac:dyDescent="0.2">
      <c r="A43" t="s">
        <v>168</v>
      </c>
      <c r="B43">
        <v>211</v>
      </c>
    </row>
    <row r="44" spans="1:2" x14ac:dyDescent="0.2">
      <c r="A44" t="s">
        <v>169</v>
      </c>
      <c r="B44">
        <v>210</v>
      </c>
    </row>
    <row r="45" spans="1:2" x14ac:dyDescent="0.2">
      <c r="A45" t="s">
        <v>170</v>
      </c>
      <c r="B45">
        <v>171</v>
      </c>
    </row>
    <row r="46" spans="1:2" x14ac:dyDescent="0.2">
      <c r="A46" t="s">
        <v>171</v>
      </c>
      <c r="B46">
        <v>570</v>
      </c>
    </row>
    <row r="47" spans="1:2" x14ac:dyDescent="0.2">
      <c r="A47" t="s">
        <v>172</v>
      </c>
      <c r="B47">
        <v>305</v>
      </c>
    </row>
    <row r="48" spans="1:2" x14ac:dyDescent="0.2">
      <c r="A48" t="s">
        <v>173</v>
      </c>
      <c r="B48">
        <f>SUBTOTAL(109,book_files[book_count])</f>
        <v>10933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backup_files</vt:lpstr>
      <vt:lpstr>Sheet3</vt:lpstr>
      <vt:lpstr>filtered</vt:lpstr>
      <vt:lpstr>book_stats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valencia</dc:creator>
  <cp:lastModifiedBy>maria valencia</cp:lastModifiedBy>
  <dcterms:created xsi:type="dcterms:W3CDTF">2026-05-19T09:39:15Z</dcterms:created>
  <dcterms:modified xsi:type="dcterms:W3CDTF">2026-05-19T10:38:10Z</dcterms:modified>
</cp:coreProperties>
</file>